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bhomes.sharepoint.com/sites/Development/Shared Documents/General/43 North/Phase II/"/>
    </mc:Choice>
  </mc:AlternateContent>
  <xr:revisionPtr revIDLastSave="62" documentId="8_{3F464031-6F4D-4AC1-83E4-6B12B71348F5}" xr6:coauthVersionLast="47" xr6:coauthVersionMax="47" xr10:uidLastSave="{9A611A9C-F4A7-4DC5-A7B6-9B9B43C35E7E}"/>
  <bookViews>
    <workbookView xWindow="-108" yWindow="-108" windowWidth="23256" windowHeight="12576" xr2:uid="{4C8CCD8D-DCA1-4951-819A-B757F88CB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" l="1"/>
  <c r="N19" i="1"/>
  <c r="O19" i="1" s="1"/>
  <c r="N18" i="1"/>
  <c r="N12" i="1"/>
  <c r="O12" i="1" s="1"/>
  <c r="N11" i="1"/>
  <c r="N10" i="1"/>
  <c r="O10" i="1" s="1"/>
  <c r="N9" i="1"/>
  <c r="N8" i="1"/>
  <c r="N7" i="1"/>
  <c r="N6" i="1"/>
  <c r="N5" i="1"/>
  <c r="O5" i="1" s="1"/>
  <c r="N4" i="1"/>
  <c r="O4" i="1" s="1"/>
  <c r="N3" i="1"/>
  <c r="O3" i="1" s="1"/>
  <c r="N16" i="1"/>
  <c r="O16" i="1" s="1"/>
  <c r="N15" i="1"/>
  <c r="O15" i="1" s="1"/>
  <c r="N14" i="1"/>
  <c r="O14" i="1" s="1"/>
  <c r="N13" i="1"/>
  <c r="O13" i="1" s="1"/>
  <c r="O20" i="1"/>
  <c r="O18" i="1"/>
  <c r="O9" i="1"/>
  <c r="O7" i="1"/>
  <c r="O11" i="1"/>
  <c r="O8" i="1"/>
  <c r="O6" i="1"/>
  <c r="B22" i="1"/>
  <c r="O17" i="1"/>
  <c r="O2" i="1"/>
  <c r="N17" i="1"/>
  <c r="N2" i="1"/>
  <c r="L21" i="1"/>
  <c r="L18" i="1"/>
  <c r="L12" i="1"/>
  <c r="L11" i="1"/>
  <c r="L10" i="1"/>
  <c r="L9" i="1"/>
  <c r="L8" i="1"/>
  <c r="L5" i="1"/>
  <c r="L4" i="1"/>
  <c r="L17" i="1"/>
  <c r="L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21" i="1"/>
  <c r="N22" i="1" l="1"/>
  <c r="N21" i="1"/>
  <c r="O21" i="1"/>
  <c r="F21" i="1"/>
  <c r="D21" i="1"/>
  <c r="B21" i="1"/>
</calcChain>
</file>

<file path=xl/sharedStrings.xml><?xml version="1.0" encoding="utf-8"?>
<sst xmlns="http://schemas.openxmlformats.org/spreadsheetml/2006/main" count="4" uniqueCount="4">
  <si>
    <t>Current</t>
  </si>
  <si>
    <t>Lisa</t>
  </si>
  <si>
    <t>Mike</t>
  </si>
  <si>
    <t>Jeff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</si>
</sst>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16CD-F661-4D9A-BC3A-2C52B2162B79}">
  <dimension ref="A1:O22"/>
  <sheetViews>
    <sheetView tabSelected="1" workbookViewId="0">
      <selection activeCell="N2" sqref="N2"/>
    </sheetView>
  </sheetViews>
  <sheetFormatPr defaultRowHeight="14.4" x14ac:dyDescent="0.3"/>
  <cols>
    <col min="2" max="2" width="12.6640625" bestFit="1" customWidth="1"/>
    <col min="3" max="3" width="12.6640625" customWidth="1"/>
    <col min="4" max="4" width="12.6640625" bestFit="1" customWidth="1"/>
    <col min="6" max="6" width="12.6640625" bestFit="1" customWidth="1"/>
    <col min="8" max="8" width="9.88671875" bestFit="1" customWidth="1"/>
    <col min="12" max="12" width="9.88671875" bestFit="1" customWidth="1"/>
    <col min="14" max="14" width="9.88671875" bestFit="1" customWidth="1"/>
  </cols>
  <sheetData>
    <row r="1" spans="1:15" x14ac:dyDescent="0.3">
      <c r="B1" s="2" t="s">
        <v>0</v>
      </c>
      <c r="C1" s="2"/>
      <c r="D1" s="2" t="s">
        <v>1</v>
      </c>
      <c r="F1" s="2" t="s">
        <v>2</v>
      </c>
      <c r="H1" t="s">
        <v>3</v>
      </c>
      <c r="N1" s="6">
        <v>44432</v>
      </c>
    </row>
    <row r="2" spans="1:15" x14ac:dyDescent="0.3">
      <c r="A2">
        <v>2</v>
      </c>
      <c r="B2" s="3">
        <v>104900</v>
      </c>
      <c r="D2">
        <v>109000</v>
      </c>
      <c r="F2" s="3">
        <v>105000</v>
      </c>
      <c r="H2" s="5">
        <v>104900</v>
      </c>
      <c r="J2" s="1">
        <f>H2-B2</f>
        <v>0</v>
      </c>
      <c r="L2">
        <f>B2</f>
        <v>104900</v>
      </c>
      <c r="N2" s="1">
        <f>H2</f>
        <v>104900</v>
      </c>
      <c r="O2" s="1">
        <f>N2-H2</f>
        <v>0</v>
      </c>
    </row>
    <row r="3" spans="1:15" x14ac:dyDescent="0.3">
      <c r="A3">
        <v>26</v>
      </c>
      <c r="B3">
        <v>144900</v>
      </c>
      <c r="D3">
        <v>119000</v>
      </c>
      <c r="F3">
        <v>135000</v>
      </c>
      <c r="H3" s="1">
        <v>136000</v>
      </c>
      <c r="J3" s="1">
        <f t="shared" ref="J3:J21" si="0">H3-B3</f>
        <v>-8900</v>
      </c>
      <c r="L3">
        <v>135900</v>
      </c>
      <c r="N3" s="1">
        <f>H3-12000</f>
        <v>124000</v>
      </c>
      <c r="O3" s="1">
        <f t="shared" ref="O3:O20" si="1">N3-H3</f>
        <v>-12000</v>
      </c>
    </row>
    <row r="4" spans="1:15" x14ac:dyDescent="0.3">
      <c r="A4">
        <v>27</v>
      </c>
      <c r="B4">
        <v>133900</v>
      </c>
      <c r="D4">
        <v>119000</v>
      </c>
      <c r="F4">
        <v>135000</v>
      </c>
      <c r="H4" s="1">
        <v>135000</v>
      </c>
      <c r="J4" s="1">
        <f t="shared" si="0"/>
        <v>1100</v>
      </c>
      <c r="L4">
        <f t="shared" ref="L4:L16" si="2">B4-6000</f>
        <v>127900</v>
      </c>
      <c r="N4" s="1">
        <f t="shared" ref="N4:N12" si="3">H4-12000</f>
        <v>123000</v>
      </c>
      <c r="O4" s="1">
        <f t="shared" si="1"/>
        <v>-12000</v>
      </c>
    </row>
    <row r="5" spans="1:15" x14ac:dyDescent="0.3">
      <c r="A5">
        <v>28</v>
      </c>
      <c r="B5">
        <v>127900</v>
      </c>
      <c r="D5">
        <v>119000</v>
      </c>
      <c r="F5">
        <v>125000</v>
      </c>
      <c r="H5" s="1">
        <v>125000</v>
      </c>
      <c r="J5" s="1">
        <f t="shared" si="0"/>
        <v>-2900</v>
      </c>
      <c r="L5">
        <f t="shared" si="2"/>
        <v>121900</v>
      </c>
      <c r="N5" s="1">
        <f t="shared" si="3"/>
        <v>113000</v>
      </c>
      <c r="O5" s="1">
        <f t="shared" si="1"/>
        <v>-12000</v>
      </c>
    </row>
    <row r="6" spans="1:15" x14ac:dyDescent="0.3">
      <c r="A6">
        <v>29</v>
      </c>
      <c r="B6">
        <v>131900</v>
      </c>
      <c r="D6">
        <v>129000</v>
      </c>
      <c r="F6">
        <v>120000</v>
      </c>
      <c r="H6" s="1">
        <v>125000</v>
      </c>
      <c r="J6" s="1">
        <f t="shared" si="0"/>
        <v>-6900</v>
      </c>
      <c r="L6">
        <v>123900</v>
      </c>
      <c r="N6" s="1">
        <f t="shared" si="3"/>
        <v>113000</v>
      </c>
      <c r="O6" s="1">
        <f t="shared" si="1"/>
        <v>-12000</v>
      </c>
    </row>
    <row r="7" spans="1:15" x14ac:dyDescent="0.3">
      <c r="A7">
        <v>30</v>
      </c>
      <c r="B7">
        <v>119900</v>
      </c>
      <c r="D7">
        <v>139000</v>
      </c>
      <c r="F7">
        <v>120000</v>
      </c>
      <c r="H7" s="1">
        <v>124000</v>
      </c>
      <c r="J7" s="1">
        <f t="shared" si="0"/>
        <v>4100</v>
      </c>
      <c r="L7">
        <v>114900</v>
      </c>
      <c r="N7" s="1">
        <f t="shared" si="3"/>
        <v>112000</v>
      </c>
      <c r="O7" s="1">
        <f t="shared" si="1"/>
        <v>-12000</v>
      </c>
    </row>
    <row r="8" spans="1:15" x14ac:dyDescent="0.3">
      <c r="A8">
        <v>31</v>
      </c>
      <c r="B8">
        <v>129900</v>
      </c>
      <c r="D8">
        <v>139000</v>
      </c>
      <c r="F8">
        <v>130000</v>
      </c>
      <c r="H8" s="1">
        <v>130000</v>
      </c>
      <c r="J8" s="1">
        <f t="shared" si="0"/>
        <v>100</v>
      </c>
      <c r="L8">
        <f t="shared" si="2"/>
        <v>123900</v>
      </c>
      <c r="N8" s="1">
        <f t="shared" si="3"/>
        <v>118000</v>
      </c>
      <c r="O8" s="1">
        <f t="shared" si="1"/>
        <v>-12000</v>
      </c>
    </row>
    <row r="9" spans="1:15" x14ac:dyDescent="0.3">
      <c r="A9">
        <v>32</v>
      </c>
      <c r="B9">
        <v>137900</v>
      </c>
      <c r="D9">
        <v>149000</v>
      </c>
      <c r="F9">
        <v>140000</v>
      </c>
      <c r="H9" s="1">
        <v>140000</v>
      </c>
      <c r="J9" s="1">
        <f t="shared" si="0"/>
        <v>2100</v>
      </c>
      <c r="L9">
        <f t="shared" si="2"/>
        <v>131900</v>
      </c>
      <c r="N9" s="1">
        <f t="shared" si="3"/>
        <v>128000</v>
      </c>
      <c r="O9" s="1">
        <f t="shared" si="1"/>
        <v>-12000</v>
      </c>
    </row>
    <row r="10" spans="1:15" x14ac:dyDescent="0.3">
      <c r="A10">
        <v>33</v>
      </c>
      <c r="B10">
        <v>137900</v>
      </c>
      <c r="D10">
        <v>149000</v>
      </c>
      <c r="F10">
        <v>140000</v>
      </c>
      <c r="H10" s="1">
        <v>142000</v>
      </c>
      <c r="J10" s="1">
        <f t="shared" si="0"/>
        <v>4100</v>
      </c>
      <c r="L10">
        <f t="shared" si="2"/>
        <v>131900</v>
      </c>
      <c r="N10" s="1">
        <f t="shared" si="3"/>
        <v>130000</v>
      </c>
      <c r="O10" s="1">
        <f t="shared" si="1"/>
        <v>-12000</v>
      </c>
    </row>
    <row r="11" spans="1:15" x14ac:dyDescent="0.3">
      <c r="A11">
        <v>34</v>
      </c>
      <c r="B11">
        <v>139900</v>
      </c>
      <c r="D11">
        <v>149000</v>
      </c>
      <c r="F11">
        <v>140000</v>
      </c>
      <c r="H11" s="1">
        <v>147000</v>
      </c>
      <c r="J11" s="1">
        <f t="shared" si="0"/>
        <v>7100</v>
      </c>
      <c r="L11">
        <f t="shared" si="2"/>
        <v>133900</v>
      </c>
      <c r="N11" s="1">
        <f t="shared" si="3"/>
        <v>135000</v>
      </c>
      <c r="O11" s="1">
        <f t="shared" si="1"/>
        <v>-12000</v>
      </c>
    </row>
    <row r="12" spans="1:15" x14ac:dyDescent="0.3">
      <c r="A12">
        <v>35</v>
      </c>
      <c r="B12" s="4">
        <v>149900</v>
      </c>
      <c r="D12">
        <v>149000</v>
      </c>
      <c r="F12">
        <v>150000</v>
      </c>
      <c r="H12" s="1">
        <v>147000</v>
      </c>
      <c r="J12" s="1">
        <f t="shared" si="0"/>
        <v>-2900</v>
      </c>
      <c r="L12">
        <f t="shared" si="2"/>
        <v>143900</v>
      </c>
      <c r="N12" s="1">
        <f t="shared" si="3"/>
        <v>135000</v>
      </c>
      <c r="O12" s="1">
        <f t="shared" si="1"/>
        <v>-12000</v>
      </c>
    </row>
    <row r="13" spans="1:15" x14ac:dyDescent="0.3">
      <c r="A13">
        <v>36</v>
      </c>
      <c r="B13">
        <v>154900</v>
      </c>
      <c r="D13">
        <v>149000</v>
      </c>
      <c r="F13">
        <v>155000</v>
      </c>
      <c r="H13" s="1">
        <v>149900</v>
      </c>
      <c r="J13" s="1">
        <f t="shared" si="0"/>
        <v>-5000</v>
      </c>
      <c r="L13">
        <v>149900</v>
      </c>
      <c r="N13" s="1">
        <f>H13-10000</f>
        <v>139900</v>
      </c>
      <c r="O13" s="1">
        <f t="shared" si="1"/>
        <v>-10000</v>
      </c>
    </row>
    <row r="14" spans="1:15" x14ac:dyDescent="0.3">
      <c r="A14">
        <v>37</v>
      </c>
      <c r="B14">
        <v>154900</v>
      </c>
      <c r="D14">
        <v>149000</v>
      </c>
      <c r="F14">
        <v>155000</v>
      </c>
      <c r="H14" s="1">
        <v>149900</v>
      </c>
      <c r="J14" s="1">
        <f t="shared" si="0"/>
        <v>-5000</v>
      </c>
      <c r="L14">
        <v>149900</v>
      </c>
      <c r="N14" s="1">
        <f t="shared" ref="N14:N16" si="4">H14-10000</f>
        <v>139900</v>
      </c>
      <c r="O14" s="1">
        <f t="shared" si="1"/>
        <v>-10000</v>
      </c>
    </row>
    <row r="15" spans="1:15" x14ac:dyDescent="0.3">
      <c r="A15">
        <v>38</v>
      </c>
      <c r="B15">
        <v>154900</v>
      </c>
      <c r="D15">
        <v>149000</v>
      </c>
      <c r="F15">
        <v>155000</v>
      </c>
      <c r="H15" s="1">
        <v>149900</v>
      </c>
      <c r="J15" s="1">
        <f t="shared" si="0"/>
        <v>-5000</v>
      </c>
      <c r="L15">
        <v>149900</v>
      </c>
      <c r="N15" s="1">
        <f t="shared" si="4"/>
        <v>139900</v>
      </c>
      <c r="O15" s="1">
        <f t="shared" si="1"/>
        <v>-10000</v>
      </c>
    </row>
    <row r="16" spans="1:15" x14ac:dyDescent="0.3">
      <c r="A16">
        <v>39</v>
      </c>
      <c r="B16">
        <v>149900</v>
      </c>
      <c r="D16">
        <v>149000</v>
      </c>
      <c r="F16">
        <v>155000</v>
      </c>
      <c r="H16" s="1">
        <v>149900</v>
      </c>
      <c r="J16" s="1">
        <f t="shared" si="0"/>
        <v>0</v>
      </c>
      <c r="L16">
        <v>147900</v>
      </c>
      <c r="N16" s="1">
        <f t="shared" si="4"/>
        <v>139900</v>
      </c>
      <c r="O16" s="1">
        <f t="shared" si="1"/>
        <v>-10000</v>
      </c>
    </row>
    <row r="17" spans="1:15" x14ac:dyDescent="0.3">
      <c r="A17">
        <v>40</v>
      </c>
      <c r="B17" s="3">
        <v>114900</v>
      </c>
      <c r="D17">
        <v>119000</v>
      </c>
      <c r="F17" s="3">
        <v>115000</v>
      </c>
      <c r="H17" s="5">
        <v>114900</v>
      </c>
      <c r="J17" s="1">
        <f t="shared" si="0"/>
        <v>0</v>
      </c>
      <c r="L17">
        <f>B17</f>
        <v>114900</v>
      </c>
      <c r="N17" s="1">
        <f>H17</f>
        <v>114900</v>
      </c>
      <c r="O17" s="1">
        <f t="shared" si="1"/>
        <v>0</v>
      </c>
    </row>
    <row r="18" spans="1:15" x14ac:dyDescent="0.3">
      <c r="A18">
        <v>41</v>
      </c>
      <c r="B18">
        <v>132900</v>
      </c>
      <c r="D18">
        <v>139000</v>
      </c>
      <c r="F18">
        <v>135000</v>
      </c>
      <c r="H18" s="1">
        <v>136000</v>
      </c>
      <c r="J18" s="1">
        <f t="shared" si="0"/>
        <v>3100</v>
      </c>
      <c r="L18">
        <f t="shared" ref="L18:L20" si="5">B18-6000</f>
        <v>126900</v>
      </c>
      <c r="N18" s="1">
        <f t="shared" ref="N18:N20" si="6">H18-12000</f>
        <v>124000</v>
      </c>
      <c r="O18" s="1">
        <f t="shared" si="1"/>
        <v>-12000</v>
      </c>
    </row>
    <row r="19" spans="1:15" x14ac:dyDescent="0.3">
      <c r="A19">
        <v>42</v>
      </c>
      <c r="B19">
        <v>134900</v>
      </c>
      <c r="D19">
        <v>139000</v>
      </c>
      <c r="F19">
        <v>140000</v>
      </c>
      <c r="H19" s="1">
        <v>140000</v>
      </c>
      <c r="J19" s="1">
        <f t="shared" si="0"/>
        <v>5100</v>
      </c>
      <c r="L19">
        <v>129900</v>
      </c>
      <c r="N19" s="1">
        <f t="shared" si="6"/>
        <v>128000</v>
      </c>
      <c r="O19" s="1">
        <f t="shared" si="1"/>
        <v>-12000</v>
      </c>
    </row>
    <row r="20" spans="1:15" x14ac:dyDescent="0.3">
      <c r="A20">
        <v>43</v>
      </c>
      <c r="B20">
        <v>138900</v>
      </c>
      <c r="D20">
        <v>139000</v>
      </c>
      <c r="F20">
        <v>150000</v>
      </c>
      <c r="H20" s="1">
        <v>148000</v>
      </c>
      <c r="J20" s="1">
        <f t="shared" si="0"/>
        <v>9100</v>
      </c>
      <c r="L20">
        <v>144900</v>
      </c>
      <c r="N20" s="1">
        <f t="shared" si="6"/>
        <v>136000</v>
      </c>
      <c r="O20" s="1">
        <f t="shared" si="1"/>
        <v>-12000</v>
      </c>
    </row>
    <row r="21" spans="1:15" x14ac:dyDescent="0.3">
      <c r="B21" s="1">
        <f>SUM(B2:B20)</f>
        <v>2595100</v>
      </c>
      <c r="C21" s="1"/>
      <c r="D21" s="1">
        <f>SUM(D2:D20)</f>
        <v>2601000</v>
      </c>
      <c r="F21" s="1">
        <f>SUM(F2:F20)</f>
        <v>2600000</v>
      </c>
      <c r="H21" s="1">
        <f>SUM(H2:H20)</f>
        <v>2594400</v>
      </c>
      <c r="J21" s="1">
        <f t="shared" si="0"/>
        <v>-700</v>
      </c>
      <c r="L21" s="1">
        <f>SUM(L2:L20)</f>
        <v>2509100</v>
      </c>
      <c r="N21" s="1">
        <f>SUM(N2:N20)</f>
        <v>2398400</v>
      </c>
      <c r="O21" s="1">
        <f>SUM(O2:O20)</f>
        <v>-196000</v>
      </c>
    </row>
    <row r="22" spans="1:15" x14ac:dyDescent="0.3">
      <c r="B22" s="1">
        <f>AVERAGE(B2:B20)</f>
        <v>136584.21052631579</v>
      </c>
      <c r="N22" s="1">
        <f>AVERAGE(N2:N20)</f>
        <v>126231.57894736843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1" ma:contentTypeDescription="Create a new document." ma:contentTypeScope="" ma:versionID="850af48b6a89283c2c38504fa90df8df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5f74ca09c4b9eca091c4f4ecb725dc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AA65A2-81DD-4379-A351-479C214028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A440FC7-D2C6-40BF-8E46-A5082CBBC9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1E8970-9EEE-4FDA-B148-982AEDD8B0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87d346-06af-42ae-85fc-924a52d5c0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Scafe</dc:creator>
  <cp:lastModifiedBy>Jeff Klaasen</cp:lastModifiedBy>
  <dcterms:created xsi:type="dcterms:W3CDTF">2021-08-13T12:28:51Z</dcterms:created>
  <dcterms:modified xsi:type="dcterms:W3CDTF">2021-08-24T21:19:19Z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