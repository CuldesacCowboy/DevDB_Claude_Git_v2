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jtbhomes.sharepoint.com/sites/Development/Shared Documents/General/43 North/Phase II/"/>
    </mc:Choice>
  </mc:AlternateContent>
  <xr:revisionPtr revIDLastSave="103" documentId="8_{7FEB5EEC-216B-417A-9374-DECE06331D33}" xr6:coauthVersionLast="47" xr6:coauthVersionMax="47" xr10:uidLastSave="{CC8A73E5-AFD9-497E-936B-79F49719B66C}"/>
  <bookViews>
    <workbookView xWindow="-108" yWindow="-108" windowWidth="23256" windowHeight="12576" xr2:uid="{C8BE14DA-97AC-44DD-9DBD-97DFD09C55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1" i="1" l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J21" i="1"/>
  <c r="J20" i="1"/>
  <c r="J19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23" i="1" s="1"/>
  <c r="D24" i="1"/>
  <c r="D23" i="1"/>
  <c r="L23" i="1" l="1"/>
</calcChain>
</file>

<file path=xl/sharedStrings.xml><?xml version="1.0" encoding="utf-8"?>
<sst xmlns="http://schemas.openxmlformats.org/spreadsheetml/2006/main" count="11" uniqueCount="10">
  <si>
    <t>TOTAL</t>
  </si>
  <si>
    <t>AVG</t>
  </si>
  <si>
    <t>Sq Ft</t>
  </si>
  <si>
    <t>Lot Price</t>
  </si>
  <si>
    <t>Lisa Proposed</t>
  </si>
  <si>
    <t>8/1/21 Lot Price</t>
  </si>
  <si>
    <t>Jeff Proposed</t>
  </si>
  <si>
    <t>Diff Lisa</t>
  </si>
  <si>
    <t>Proposed</t>
  </si>
  <si>
    <t>Diff Jeff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</si>
</sst>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&quot;$&quot;#,##0"/>
    <numFmt numFmtId="165" formatCode="_(* #,##0_);_(* \(#,##0\);_(* &quot;-&quot;??_);_(@_)"/>
    <numFmt numFmtId="166" formatCode="&quot;$&quot;#,##0.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165" fontId="0" fillId="0" borderId="0" xfId="1" applyNumberFormat="1" applyFont="1"/>
    <xf numFmtId="164" fontId="0" fillId="0" borderId="0" xfId="0" applyNumberFormat="1" applyFill="1"/>
    <xf numFmtId="0" fontId="0" fillId="0" borderId="0" xfId="0" applyAlignment="1">
      <alignment horizontal="center"/>
    </xf>
    <xf numFmtId="166" fontId="0" fillId="0" borderId="0" xfId="0" applyNumberFormat="1"/>
    <xf numFmtId="14" fontId="0" fillId="0" borderId="0" xfId="0" applyNumberFormat="1"/>
    <xf numFmtId="164" fontId="0" fillId="2" borderId="0" xfId="0" applyNumberForma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B1B7C-3AEF-4430-BAC0-E1B1243A7ED1}">
  <sheetPr>
    <pageSetUpPr fitToPage="1"/>
  </sheetPr>
  <dimension ref="A1:L24"/>
  <sheetViews>
    <sheetView tabSelected="1" workbookViewId="0">
      <selection activeCell="H14" sqref="H14"/>
    </sheetView>
  </sheetViews>
  <sheetFormatPr defaultRowHeight="14.4" x14ac:dyDescent="0.3"/>
  <cols>
    <col min="2" max="2" width="12.6640625" bestFit="1" customWidth="1"/>
    <col min="3" max="3" width="12.6640625" customWidth="1"/>
    <col min="4" max="4" width="9.88671875" bestFit="1" customWidth="1"/>
    <col min="5" max="6" width="11" bestFit="1" customWidth="1"/>
    <col min="8" max="8" width="9.5546875" bestFit="1" customWidth="1"/>
    <col min="12" max="12" width="10.5546875" bestFit="1" customWidth="1"/>
  </cols>
  <sheetData>
    <row r="1" spans="1:12" x14ac:dyDescent="0.3">
      <c r="D1" s="6">
        <v>44348</v>
      </c>
      <c r="F1" t="s">
        <v>4</v>
      </c>
      <c r="H1" t="s">
        <v>6</v>
      </c>
      <c r="J1" t="s">
        <v>7</v>
      </c>
      <c r="L1" t="s">
        <v>9</v>
      </c>
    </row>
    <row r="2" spans="1:12" x14ac:dyDescent="0.3">
      <c r="B2" s="4" t="s">
        <v>2</v>
      </c>
      <c r="C2" s="4"/>
      <c r="D2" t="s">
        <v>3</v>
      </c>
      <c r="F2" t="s">
        <v>5</v>
      </c>
      <c r="H2" s="6">
        <v>44420</v>
      </c>
      <c r="J2" t="s">
        <v>8</v>
      </c>
      <c r="L2" t="s">
        <v>8</v>
      </c>
    </row>
    <row r="3" spans="1:12" x14ac:dyDescent="0.3">
      <c r="A3">
        <v>2</v>
      </c>
      <c r="B3" s="2">
        <v>44216</v>
      </c>
      <c r="C3" s="2"/>
      <c r="D3" s="1">
        <v>104900</v>
      </c>
      <c r="F3" s="1">
        <v>109000</v>
      </c>
      <c r="H3" s="7">
        <v>104900</v>
      </c>
      <c r="J3" s="1">
        <v>0</v>
      </c>
      <c r="L3" s="1">
        <f>H3-D3</f>
        <v>0</v>
      </c>
    </row>
    <row r="4" spans="1:12" x14ac:dyDescent="0.3">
      <c r="A4">
        <v>26</v>
      </c>
      <c r="B4" s="2">
        <v>82774</v>
      </c>
      <c r="C4" s="2"/>
      <c r="D4" s="1">
        <v>144900</v>
      </c>
      <c r="F4" s="1">
        <v>119000</v>
      </c>
      <c r="H4" s="1">
        <v>125900</v>
      </c>
      <c r="J4" s="1">
        <f t="shared" ref="J4:J21" si="0">F4-D4</f>
        <v>-25900</v>
      </c>
      <c r="L4" s="1">
        <f t="shared" ref="L4:L21" si="1">H4-D4</f>
        <v>-19000</v>
      </c>
    </row>
    <row r="5" spans="1:12" x14ac:dyDescent="0.3">
      <c r="A5">
        <v>27</v>
      </c>
      <c r="B5" s="2">
        <v>58467</v>
      </c>
      <c r="C5" s="2"/>
      <c r="D5" s="1">
        <v>133900</v>
      </c>
      <c r="F5" s="1">
        <v>119000</v>
      </c>
      <c r="H5" s="1">
        <v>124900</v>
      </c>
      <c r="J5" s="1">
        <f t="shared" si="0"/>
        <v>-14900</v>
      </c>
      <c r="L5" s="1">
        <f t="shared" si="1"/>
        <v>-9000</v>
      </c>
    </row>
    <row r="6" spans="1:12" x14ac:dyDescent="0.3">
      <c r="A6">
        <v>28</v>
      </c>
      <c r="B6" s="2">
        <v>24458</v>
      </c>
      <c r="C6" s="2"/>
      <c r="D6" s="1">
        <v>127900</v>
      </c>
      <c r="F6" s="1">
        <v>119000</v>
      </c>
      <c r="H6" s="1">
        <v>122900</v>
      </c>
      <c r="J6" s="1">
        <f t="shared" si="0"/>
        <v>-8900</v>
      </c>
      <c r="L6" s="1">
        <f t="shared" si="1"/>
        <v>-5000</v>
      </c>
    </row>
    <row r="7" spans="1:12" x14ac:dyDescent="0.3">
      <c r="A7">
        <v>29</v>
      </c>
      <c r="B7" s="2">
        <v>26116</v>
      </c>
      <c r="C7" s="2"/>
      <c r="D7" s="1">
        <v>131900</v>
      </c>
      <c r="F7" s="1">
        <v>129000</v>
      </c>
      <c r="H7" s="1">
        <v>129900</v>
      </c>
      <c r="J7" s="1">
        <f t="shared" si="0"/>
        <v>-2900</v>
      </c>
      <c r="L7" s="1">
        <f t="shared" si="1"/>
        <v>-2000</v>
      </c>
    </row>
    <row r="8" spans="1:12" x14ac:dyDescent="0.3">
      <c r="A8">
        <v>30</v>
      </c>
      <c r="B8" s="2">
        <v>23997</v>
      </c>
      <c r="C8" s="2"/>
      <c r="D8" s="1">
        <v>119900</v>
      </c>
      <c r="F8" s="1">
        <v>139000</v>
      </c>
      <c r="H8" s="1">
        <v>129900</v>
      </c>
      <c r="J8" s="1">
        <f t="shared" si="0"/>
        <v>19100</v>
      </c>
      <c r="L8" s="1">
        <f t="shared" si="1"/>
        <v>10000</v>
      </c>
    </row>
    <row r="9" spans="1:12" x14ac:dyDescent="0.3">
      <c r="A9">
        <v>31</v>
      </c>
      <c r="B9" s="2">
        <v>24844</v>
      </c>
      <c r="C9" s="2"/>
      <c r="D9" s="1">
        <v>129900</v>
      </c>
      <c r="F9" s="1">
        <v>139000</v>
      </c>
      <c r="H9" s="1">
        <v>136900</v>
      </c>
      <c r="J9" s="1">
        <f t="shared" si="0"/>
        <v>9100</v>
      </c>
      <c r="L9" s="1">
        <f t="shared" si="1"/>
        <v>7000</v>
      </c>
    </row>
    <row r="10" spans="1:12" x14ac:dyDescent="0.3">
      <c r="A10">
        <v>32</v>
      </c>
      <c r="B10" s="2">
        <v>35169</v>
      </c>
      <c r="C10" s="2"/>
      <c r="D10" s="3">
        <v>137900</v>
      </c>
      <c r="F10" s="3">
        <v>149000</v>
      </c>
      <c r="H10" s="3">
        <v>144900</v>
      </c>
      <c r="J10" s="1">
        <f t="shared" si="0"/>
        <v>11100</v>
      </c>
      <c r="L10" s="1">
        <f t="shared" si="1"/>
        <v>7000</v>
      </c>
    </row>
    <row r="11" spans="1:12" x14ac:dyDescent="0.3">
      <c r="A11">
        <v>33</v>
      </c>
      <c r="B11" s="2">
        <v>30165</v>
      </c>
      <c r="C11" s="2"/>
      <c r="D11" s="3">
        <v>137900</v>
      </c>
      <c r="F11" s="3">
        <v>149000</v>
      </c>
      <c r="H11" s="3">
        <v>144900</v>
      </c>
      <c r="J11" s="1">
        <f t="shared" si="0"/>
        <v>11100</v>
      </c>
      <c r="L11" s="1">
        <f t="shared" si="1"/>
        <v>7000</v>
      </c>
    </row>
    <row r="12" spans="1:12" x14ac:dyDescent="0.3">
      <c r="A12">
        <v>34</v>
      </c>
      <c r="B12" s="2">
        <v>29203</v>
      </c>
      <c r="C12" s="2"/>
      <c r="D12" s="3">
        <v>139900</v>
      </c>
      <c r="F12" s="3">
        <v>149000</v>
      </c>
      <c r="H12" s="3">
        <v>146900</v>
      </c>
      <c r="J12" s="1">
        <f t="shared" si="0"/>
        <v>9100</v>
      </c>
      <c r="L12" s="1">
        <f t="shared" si="1"/>
        <v>7000</v>
      </c>
    </row>
    <row r="13" spans="1:12" x14ac:dyDescent="0.3">
      <c r="A13">
        <v>35</v>
      </c>
      <c r="B13" s="2">
        <v>41150</v>
      </c>
      <c r="C13" s="2"/>
      <c r="D13" s="3">
        <v>149900</v>
      </c>
      <c r="F13" s="3">
        <v>149000</v>
      </c>
      <c r="H13" s="3">
        <v>148900</v>
      </c>
      <c r="J13" s="1">
        <f t="shared" si="0"/>
        <v>-900</v>
      </c>
      <c r="L13" s="1">
        <f t="shared" si="1"/>
        <v>-1000</v>
      </c>
    </row>
    <row r="14" spans="1:12" x14ac:dyDescent="0.3">
      <c r="A14">
        <v>36</v>
      </c>
      <c r="B14" s="2">
        <v>45284</v>
      </c>
      <c r="C14" s="2"/>
      <c r="D14" s="3">
        <v>154900</v>
      </c>
      <c r="F14" s="3">
        <v>149000</v>
      </c>
      <c r="H14" s="3">
        <v>149900</v>
      </c>
      <c r="J14" s="1">
        <f t="shared" si="0"/>
        <v>-5900</v>
      </c>
      <c r="L14" s="1">
        <f t="shared" si="1"/>
        <v>-5000</v>
      </c>
    </row>
    <row r="15" spans="1:12" x14ac:dyDescent="0.3">
      <c r="A15">
        <v>37</v>
      </c>
      <c r="B15" s="2">
        <v>73150</v>
      </c>
      <c r="C15" s="2"/>
      <c r="D15" s="3">
        <v>154900</v>
      </c>
      <c r="F15" s="3">
        <v>149000</v>
      </c>
      <c r="H15" s="3">
        <v>149900</v>
      </c>
      <c r="J15" s="1">
        <f t="shared" si="0"/>
        <v>-5900</v>
      </c>
      <c r="L15" s="1">
        <f t="shared" si="1"/>
        <v>-5000</v>
      </c>
    </row>
    <row r="16" spans="1:12" x14ac:dyDescent="0.3">
      <c r="A16">
        <v>38</v>
      </c>
      <c r="B16" s="2">
        <v>73675</v>
      </c>
      <c r="C16" s="2"/>
      <c r="D16" s="3">
        <v>154900</v>
      </c>
      <c r="F16" s="3">
        <v>149000</v>
      </c>
      <c r="H16" s="3">
        <v>149900</v>
      </c>
      <c r="J16" s="1">
        <f t="shared" si="0"/>
        <v>-5900</v>
      </c>
      <c r="L16" s="1">
        <f t="shared" si="1"/>
        <v>-5000</v>
      </c>
    </row>
    <row r="17" spans="1:12" x14ac:dyDescent="0.3">
      <c r="A17">
        <v>39</v>
      </c>
      <c r="B17" s="2">
        <v>72285</v>
      </c>
      <c r="C17" s="2"/>
      <c r="D17" s="3">
        <v>149900</v>
      </c>
      <c r="F17" s="3">
        <v>149000</v>
      </c>
      <c r="H17" s="3">
        <v>149900</v>
      </c>
      <c r="J17" s="1">
        <f t="shared" si="0"/>
        <v>-900</v>
      </c>
      <c r="L17" s="1">
        <f t="shared" si="1"/>
        <v>0</v>
      </c>
    </row>
    <row r="18" spans="1:12" x14ac:dyDescent="0.3">
      <c r="A18">
        <v>40</v>
      </c>
      <c r="B18" s="2">
        <v>28594</v>
      </c>
      <c r="C18" s="2"/>
      <c r="D18" s="1">
        <v>114900</v>
      </c>
      <c r="E18" s="5"/>
      <c r="F18" s="1">
        <v>119000</v>
      </c>
      <c r="H18" s="7">
        <v>114900</v>
      </c>
      <c r="J18" s="1">
        <v>0</v>
      </c>
      <c r="L18" s="1">
        <f t="shared" si="1"/>
        <v>0</v>
      </c>
    </row>
    <row r="19" spans="1:12" x14ac:dyDescent="0.3">
      <c r="A19">
        <v>41</v>
      </c>
      <c r="B19" s="2">
        <v>23517</v>
      </c>
      <c r="C19" s="2"/>
      <c r="D19" s="1">
        <v>132900</v>
      </c>
      <c r="F19" s="1">
        <v>139000</v>
      </c>
      <c r="H19" s="1">
        <v>139900</v>
      </c>
      <c r="J19" s="1">
        <f t="shared" si="0"/>
        <v>6100</v>
      </c>
      <c r="L19" s="1">
        <f t="shared" si="1"/>
        <v>7000</v>
      </c>
    </row>
    <row r="20" spans="1:12" x14ac:dyDescent="0.3">
      <c r="A20">
        <v>42</v>
      </c>
      <c r="B20" s="2">
        <v>44737</v>
      </c>
      <c r="C20" s="2"/>
      <c r="D20" s="1">
        <v>134900</v>
      </c>
      <c r="F20" s="1">
        <v>139000</v>
      </c>
      <c r="H20" s="1">
        <v>139900</v>
      </c>
      <c r="J20" s="1">
        <f t="shared" si="0"/>
        <v>4100</v>
      </c>
      <c r="L20" s="1">
        <f t="shared" si="1"/>
        <v>5000</v>
      </c>
    </row>
    <row r="21" spans="1:12" x14ac:dyDescent="0.3">
      <c r="A21">
        <v>43</v>
      </c>
      <c r="B21" s="2">
        <v>59520</v>
      </c>
      <c r="C21" s="2"/>
      <c r="D21" s="1">
        <v>138900</v>
      </c>
      <c r="F21" s="1">
        <v>139000</v>
      </c>
      <c r="H21" s="1">
        <v>139900</v>
      </c>
      <c r="J21" s="1">
        <f t="shared" si="0"/>
        <v>100</v>
      </c>
      <c r="L21" s="1">
        <f t="shared" si="1"/>
        <v>1000</v>
      </c>
    </row>
    <row r="22" spans="1:12" x14ac:dyDescent="0.3">
      <c r="D22" s="1"/>
    </row>
    <row r="23" spans="1:12" x14ac:dyDescent="0.3">
      <c r="A23" t="s">
        <v>0</v>
      </c>
      <c r="D23" s="1">
        <f t="shared" ref="D23" si="2">SUM(D3:D22)</f>
        <v>2595100</v>
      </c>
      <c r="J23" s="1">
        <f>SUM(J3:J21)</f>
        <v>-2300</v>
      </c>
      <c r="L23" s="1">
        <f>SUM(L3:L21)</f>
        <v>0</v>
      </c>
    </row>
    <row r="24" spans="1:12" x14ac:dyDescent="0.3">
      <c r="A24" t="s">
        <v>1</v>
      </c>
      <c r="D24" s="1">
        <f t="shared" ref="D24" si="3">AVERAGE(D3:D21)</f>
        <v>136584.21052631579</v>
      </c>
    </row>
  </sheetData>
  <sortState xmlns:xlrd2="http://schemas.microsoft.com/office/spreadsheetml/2017/richdata2" ref="A3:B21">
    <sortCondition ref="A3:A21"/>
  </sortState>
  <pageMargins left="0.7" right="0.7" top="0.75" bottom="0.75" header="0.3" footer="0.3"/>
  <pageSetup orientation="landscape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5833250F1FA14181152E496B7BA299" ma:contentTypeVersion="11" ma:contentTypeDescription="Create a new document." ma:contentTypeScope="" ma:versionID="850af48b6a89283c2c38504fa90df8df">
  <xsd:schema xmlns:xsd="http://www.w3.org/2001/XMLSchema" xmlns:xs="http://www.w3.org/2001/XMLSchema" xmlns:p="http://schemas.microsoft.com/office/2006/metadata/properties" xmlns:ns2="3587d346-06af-42ae-85fc-924a52d5c0b5" targetNamespace="http://schemas.microsoft.com/office/2006/metadata/properties" ma:root="true" ma:fieldsID="5f74ca09c4b9eca091c4f4ecb725dca9" ns2:_="">
    <xsd:import namespace="3587d346-06af-42ae-85fc-924a52d5c0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87d346-06af-42ae-85fc-924a52d5c0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131A32E-1C90-4AC6-A353-05B56633472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D7C0D5F-2BAB-4D84-8A0C-5CECD9BBDC58}"/>
</file>

<file path=customXml/itemProps3.xml><?xml version="1.0" encoding="utf-8"?>
<ds:datastoreItem xmlns:ds="http://schemas.openxmlformats.org/officeDocument/2006/customXml" ds:itemID="{4F97EF70-B426-44B2-A575-946E72987113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Scafe</dc:creator>
  <cp:lastModifiedBy>Jeff Klaasen</cp:lastModifiedBy>
  <cp:lastPrinted>2021-04-16T13:15:22Z</cp:lastPrinted>
  <dcterms:created xsi:type="dcterms:W3CDTF">2021-03-29T14:31:11Z</dcterms:created>
  <dcterms:modified xsi:type="dcterms:W3CDTF">2021-08-12T19:19:03Z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0x010100945833250F1FA14181152E496B7BA299</vt:lpwstr>
  </property>
</Properties>
</file>