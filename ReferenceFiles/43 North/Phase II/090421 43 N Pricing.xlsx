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tbhomes.sharepoint.com/sites/Development/Shared Documents/General/43 North/Phase II/"/>
    </mc:Choice>
  </mc:AlternateContent>
  <xr:revisionPtr revIDLastSave="6" documentId="8_{5BE7716F-1A52-4635-AD45-B83A232E8A7A}" xr6:coauthVersionLast="47" xr6:coauthVersionMax="47" xr10:uidLastSave="{42296133-2D51-4905-B782-EC28355E7B79}"/>
  <bookViews>
    <workbookView xWindow="-108" yWindow="-108" windowWidth="23256" windowHeight="12576" xr2:uid="{4C8CCD8D-DCA1-4951-819A-B757F88CBA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3" i="1" l="1"/>
  <c r="L22" i="1"/>
  <c r="L17" i="1"/>
  <c r="J23" i="1"/>
  <c r="J22" i="1"/>
  <c r="J21" i="1"/>
  <c r="J15" i="1"/>
  <c r="L15" i="1" s="1"/>
  <c r="J14" i="1"/>
  <c r="L14" i="1" s="1"/>
  <c r="J13" i="1"/>
  <c r="L13" i="1" s="1"/>
  <c r="J12" i="1"/>
  <c r="L12" i="1" s="1"/>
  <c r="J11" i="1"/>
  <c r="L11" i="1" s="1"/>
  <c r="J10" i="1"/>
  <c r="L10" i="1" s="1"/>
  <c r="J9" i="1"/>
  <c r="L9" i="1" s="1"/>
  <c r="J8" i="1"/>
  <c r="L8" i="1" s="1"/>
  <c r="J7" i="1"/>
  <c r="L7" i="1" s="1"/>
  <c r="J6" i="1"/>
  <c r="L6" i="1" s="1"/>
  <c r="J19" i="1"/>
  <c r="L19" i="1" s="1"/>
  <c r="J18" i="1"/>
  <c r="L18" i="1" s="1"/>
  <c r="J17" i="1"/>
  <c r="J16" i="1"/>
  <c r="L16" i="1" s="1"/>
  <c r="B25" i="1"/>
  <c r="J20" i="1"/>
  <c r="L20" i="1" s="1"/>
  <c r="J5" i="1"/>
  <c r="L5" i="1" s="1"/>
  <c r="H24" i="1"/>
  <c r="L24" i="1" l="1"/>
  <c r="L25" i="1"/>
  <c r="J25" i="1"/>
  <c r="J24" i="1"/>
  <c r="F24" i="1"/>
  <c r="D24" i="1"/>
  <c r="B24" i="1"/>
</calcChain>
</file>

<file path=xl/sharedStrings.xml><?xml version="1.0" encoding="utf-8"?>
<sst xmlns="http://schemas.openxmlformats.org/spreadsheetml/2006/main" count="6" uniqueCount="6">
  <si>
    <t>Current</t>
  </si>
  <si>
    <t>Lisa</t>
  </si>
  <si>
    <t>Mike</t>
  </si>
  <si>
    <t>Jeff</t>
  </si>
  <si>
    <t>Jeff Revised</t>
  </si>
  <si>
    <t>43 North Final Pricing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</si>
</sst>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  <xf numFmtId="0" fontId="0" fillId="2" borderId="0" xfId="0" applyFill="1"/>
    <xf numFmtId="164" fontId="0" fillId="2" borderId="0" xfId="0" applyNumberFormat="1" applyFill="1"/>
    <xf numFmtId="14" fontId="0" fillId="0" borderId="0" xfId="0" applyNumberFormat="1"/>
    <xf numFmtId="0" fontId="0" fillId="0" borderId="1" xfId="0" applyBorder="1"/>
    <xf numFmtId="14" fontId="0" fillId="0" borderId="2" xfId="0" applyNumberFormat="1" applyBorder="1"/>
    <xf numFmtId="164" fontId="0" fillId="0" borderId="2" xfId="0" applyNumberFormat="1" applyBorder="1"/>
    <xf numFmtId="164" fontId="0" fillId="0" borderId="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716CD-F661-4D9A-BC3A-2C52B2162B79}">
  <sheetPr>
    <pageSetUpPr fitToPage="1"/>
  </sheetPr>
  <dimension ref="A1:L25"/>
  <sheetViews>
    <sheetView tabSelected="1" workbookViewId="0">
      <selection activeCell="K23" sqref="K23"/>
    </sheetView>
  </sheetViews>
  <sheetFormatPr defaultRowHeight="14.4" x14ac:dyDescent="0.3"/>
  <cols>
    <col min="2" max="4" width="12.6640625" hidden="1" customWidth="1"/>
    <col min="5" max="5" width="0" hidden="1" customWidth="1"/>
    <col min="6" max="6" width="12.6640625" hidden="1" customWidth="1"/>
    <col min="7" max="7" width="0" hidden="1" customWidth="1"/>
    <col min="8" max="8" width="9.88671875" hidden="1" customWidth="1"/>
    <col min="9" max="9" width="0" hidden="1" customWidth="1"/>
    <col min="10" max="10" width="9.88671875" hidden="1" customWidth="1"/>
    <col min="11" max="11" width="9.88671875" customWidth="1"/>
    <col min="12" max="12" width="10.6640625" bestFit="1" customWidth="1"/>
  </cols>
  <sheetData>
    <row r="1" spans="1:12" x14ac:dyDescent="0.3">
      <c r="A1" t="s">
        <v>5</v>
      </c>
    </row>
    <row r="2" spans="1:12" ht="15" thickBot="1" x14ac:dyDescent="0.35">
      <c r="A2" s="6">
        <v>44446</v>
      </c>
    </row>
    <row r="3" spans="1:12" x14ac:dyDescent="0.3">
      <c r="J3" t="s">
        <v>4</v>
      </c>
      <c r="L3" s="7"/>
    </row>
    <row r="4" spans="1:12" x14ac:dyDescent="0.3">
      <c r="B4" s="2" t="s">
        <v>0</v>
      </c>
      <c r="C4" s="2"/>
      <c r="D4" s="2" t="s">
        <v>1</v>
      </c>
      <c r="F4" s="2" t="s">
        <v>2</v>
      </c>
      <c r="H4" t="s">
        <v>3</v>
      </c>
      <c r="J4" s="6">
        <v>44432</v>
      </c>
      <c r="K4" s="6"/>
      <c r="L4" s="8"/>
    </row>
    <row r="5" spans="1:12" x14ac:dyDescent="0.3">
      <c r="A5">
        <v>2</v>
      </c>
      <c r="B5" s="3">
        <v>104900</v>
      </c>
      <c r="D5">
        <v>109000</v>
      </c>
      <c r="F5" s="3">
        <v>105000</v>
      </c>
      <c r="H5" s="5">
        <v>104900</v>
      </c>
      <c r="J5" s="1">
        <f>H5</f>
        <v>104900</v>
      </c>
      <c r="K5" s="1"/>
      <c r="L5" s="9">
        <f t="shared" ref="L5:L20" si="0">J5</f>
        <v>104900</v>
      </c>
    </row>
    <row r="6" spans="1:12" x14ac:dyDescent="0.3">
      <c r="A6">
        <v>26</v>
      </c>
      <c r="B6">
        <v>144900</v>
      </c>
      <c r="D6">
        <v>119000</v>
      </c>
      <c r="F6">
        <v>135000</v>
      </c>
      <c r="H6" s="1">
        <v>136000</v>
      </c>
      <c r="J6" s="1">
        <f>H6-12000</f>
        <v>124000</v>
      </c>
      <c r="K6" s="1"/>
      <c r="L6" s="9">
        <f t="shared" si="0"/>
        <v>124000</v>
      </c>
    </row>
    <row r="7" spans="1:12" x14ac:dyDescent="0.3">
      <c r="A7">
        <v>27</v>
      </c>
      <c r="B7">
        <v>133900</v>
      </c>
      <c r="D7">
        <v>119000</v>
      </c>
      <c r="F7">
        <v>135000</v>
      </c>
      <c r="H7" s="1">
        <v>135000</v>
      </c>
      <c r="J7" s="1">
        <f t="shared" ref="J7:J15" si="1">H7-12000</f>
        <v>123000</v>
      </c>
      <c r="K7" s="1"/>
      <c r="L7" s="9">
        <f t="shared" si="0"/>
        <v>123000</v>
      </c>
    </row>
    <row r="8" spans="1:12" x14ac:dyDescent="0.3">
      <c r="A8">
        <v>28</v>
      </c>
      <c r="B8">
        <v>127900</v>
      </c>
      <c r="D8">
        <v>119000</v>
      </c>
      <c r="F8">
        <v>125000</v>
      </c>
      <c r="H8" s="1">
        <v>125000</v>
      </c>
      <c r="J8" s="1">
        <f t="shared" si="1"/>
        <v>113000</v>
      </c>
      <c r="K8" s="1"/>
      <c r="L8" s="9">
        <f t="shared" si="0"/>
        <v>113000</v>
      </c>
    </row>
    <row r="9" spans="1:12" x14ac:dyDescent="0.3">
      <c r="A9">
        <v>29</v>
      </c>
      <c r="B9">
        <v>131900</v>
      </c>
      <c r="D9">
        <v>129000</v>
      </c>
      <c r="F9">
        <v>120000</v>
      </c>
      <c r="H9" s="1">
        <v>125000</v>
      </c>
      <c r="J9" s="1">
        <f t="shared" si="1"/>
        <v>113000</v>
      </c>
      <c r="K9" s="1"/>
      <c r="L9" s="9">
        <f t="shared" si="0"/>
        <v>113000</v>
      </c>
    </row>
    <row r="10" spans="1:12" x14ac:dyDescent="0.3">
      <c r="A10">
        <v>30</v>
      </c>
      <c r="B10">
        <v>119900</v>
      </c>
      <c r="D10">
        <v>139000</v>
      </c>
      <c r="F10">
        <v>120000</v>
      </c>
      <c r="H10" s="1">
        <v>124000</v>
      </c>
      <c r="J10" s="1">
        <f t="shared" si="1"/>
        <v>112000</v>
      </c>
      <c r="K10" s="1"/>
      <c r="L10" s="9">
        <f t="shared" si="0"/>
        <v>112000</v>
      </c>
    </row>
    <row r="11" spans="1:12" x14ac:dyDescent="0.3">
      <c r="A11">
        <v>31</v>
      </c>
      <c r="B11">
        <v>129900</v>
      </c>
      <c r="D11">
        <v>139000</v>
      </c>
      <c r="F11">
        <v>130000</v>
      </c>
      <c r="H11" s="1">
        <v>130000</v>
      </c>
      <c r="J11" s="1">
        <f t="shared" si="1"/>
        <v>118000</v>
      </c>
      <c r="K11" s="1"/>
      <c r="L11" s="9">
        <f t="shared" si="0"/>
        <v>118000</v>
      </c>
    </row>
    <row r="12" spans="1:12" x14ac:dyDescent="0.3">
      <c r="A12">
        <v>32</v>
      </c>
      <c r="B12">
        <v>137900</v>
      </c>
      <c r="D12">
        <v>149000</v>
      </c>
      <c r="F12">
        <v>140000</v>
      </c>
      <c r="H12" s="1">
        <v>140000</v>
      </c>
      <c r="J12" s="1">
        <f t="shared" si="1"/>
        <v>128000</v>
      </c>
      <c r="K12" s="1"/>
      <c r="L12" s="9">
        <f t="shared" si="0"/>
        <v>128000</v>
      </c>
    </row>
    <row r="13" spans="1:12" x14ac:dyDescent="0.3">
      <c r="A13">
        <v>33</v>
      </c>
      <c r="B13">
        <v>137900</v>
      </c>
      <c r="D13">
        <v>149000</v>
      </c>
      <c r="F13">
        <v>140000</v>
      </c>
      <c r="H13" s="1">
        <v>142000</v>
      </c>
      <c r="J13" s="1">
        <f t="shared" si="1"/>
        <v>130000</v>
      </c>
      <c r="K13" s="1"/>
      <c r="L13" s="9">
        <f t="shared" si="0"/>
        <v>130000</v>
      </c>
    </row>
    <row r="14" spans="1:12" x14ac:dyDescent="0.3">
      <c r="A14">
        <v>34</v>
      </c>
      <c r="B14">
        <v>139900</v>
      </c>
      <c r="D14">
        <v>149000</v>
      </c>
      <c r="F14">
        <v>140000</v>
      </c>
      <c r="H14" s="1">
        <v>147000</v>
      </c>
      <c r="J14" s="1">
        <f t="shared" si="1"/>
        <v>135000</v>
      </c>
      <c r="K14" s="1"/>
      <c r="L14" s="9">
        <f t="shared" si="0"/>
        <v>135000</v>
      </c>
    </row>
    <row r="15" spans="1:12" x14ac:dyDescent="0.3">
      <c r="A15">
        <v>35</v>
      </c>
      <c r="B15" s="4">
        <v>149900</v>
      </c>
      <c r="D15">
        <v>149000</v>
      </c>
      <c r="F15">
        <v>150000</v>
      </c>
      <c r="H15" s="1">
        <v>147000</v>
      </c>
      <c r="J15" s="1">
        <f t="shared" si="1"/>
        <v>135000</v>
      </c>
      <c r="K15" s="1"/>
      <c r="L15" s="9">
        <f t="shared" si="0"/>
        <v>135000</v>
      </c>
    </row>
    <row r="16" spans="1:12" x14ac:dyDescent="0.3">
      <c r="A16">
        <v>36</v>
      </c>
      <c r="B16">
        <v>154900</v>
      </c>
      <c r="D16">
        <v>149000</v>
      </c>
      <c r="F16">
        <v>155000</v>
      </c>
      <c r="H16" s="1">
        <v>149900</v>
      </c>
      <c r="J16" s="1">
        <f>H16-10000</f>
        <v>139900</v>
      </c>
      <c r="K16" s="1"/>
      <c r="L16" s="9">
        <f t="shared" si="0"/>
        <v>139900</v>
      </c>
    </row>
    <row r="17" spans="1:12" x14ac:dyDescent="0.3">
      <c r="A17">
        <v>37</v>
      </c>
      <c r="B17">
        <v>154900</v>
      </c>
      <c r="D17">
        <v>149000</v>
      </c>
      <c r="F17">
        <v>155000</v>
      </c>
      <c r="H17" s="1">
        <v>149900</v>
      </c>
      <c r="J17" s="1">
        <f t="shared" ref="J17:J19" si="2">H17-10000</f>
        <v>139900</v>
      </c>
      <c r="K17" s="1"/>
      <c r="L17" s="9">
        <f t="shared" si="0"/>
        <v>139900</v>
      </c>
    </row>
    <row r="18" spans="1:12" x14ac:dyDescent="0.3">
      <c r="A18">
        <v>38</v>
      </c>
      <c r="B18">
        <v>154900</v>
      </c>
      <c r="D18">
        <v>149000</v>
      </c>
      <c r="F18">
        <v>155000</v>
      </c>
      <c r="H18" s="1">
        <v>149900</v>
      </c>
      <c r="J18" s="1">
        <f t="shared" si="2"/>
        <v>139900</v>
      </c>
      <c r="K18" s="1"/>
      <c r="L18" s="9">
        <f t="shared" si="0"/>
        <v>139900</v>
      </c>
    </row>
    <row r="19" spans="1:12" x14ac:dyDescent="0.3">
      <c r="A19">
        <v>39</v>
      </c>
      <c r="B19">
        <v>149900</v>
      </c>
      <c r="D19">
        <v>149000</v>
      </c>
      <c r="F19">
        <v>155000</v>
      </c>
      <c r="H19" s="1">
        <v>149900</v>
      </c>
      <c r="J19" s="1">
        <f t="shared" si="2"/>
        <v>139900</v>
      </c>
      <c r="K19" s="1"/>
      <c r="L19" s="9">
        <f t="shared" si="0"/>
        <v>139900</v>
      </c>
    </row>
    <row r="20" spans="1:12" x14ac:dyDescent="0.3">
      <c r="A20">
        <v>40</v>
      </c>
      <c r="B20" s="3">
        <v>114900</v>
      </c>
      <c r="D20">
        <v>119000</v>
      </c>
      <c r="F20" s="3">
        <v>115000</v>
      </c>
      <c r="H20" s="5">
        <v>114900</v>
      </c>
      <c r="J20" s="1">
        <f>H20</f>
        <v>114900</v>
      </c>
      <c r="K20" s="1"/>
      <c r="L20" s="9">
        <f t="shared" si="0"/>
        <v>114900</v>
      </c>
    </row>
    <row r="21" spans="1:12" x14ac:dyDescent="0.3">
      <c r="A21">
        <v>41</v>
      </c>
      <c r="B21">
        <v>132900</v>
      </c>
      <c r="D21">
        <v>139000</v>
      </c>
      <c r="F21">
        <v>135000</v>
      </c>
      <c r="H21" s="1">
        <v>136000</v>
      </c>
      <c r="J21" s="1">
        <f t="shared" ref="J21:J23" si="3">H21-12000</f>
        <v>124000</v>
      </c>
      <c r="K21" s="1"/>
      <c r="L21" s="9">
        <v>119900</v>
      </c>
    </row>
    <row r="22" spans="1:12" x14ac:dyDescent="0.3">
      <c r="A22">
        <v>42</v>
      </c>
      <c r="B22">
        <v>134900</v>
      </c>
      <c r="D22">
        <v>139000</v>
      </c>
      <c r="F22">
        <v>140000</v>
      </c>
      <c r="H22" s="1">
        <v>140000</v>
      </c>
      <c r="J22" s="1">
        <f t="shared" si="3"/>
        <v>128000</v>
      </c>
      <c r="K22" s="1"/>
      <c r="L22" s="9">
        <f>J22</f>
        <v>128000</v>
      </c>
    </row>
    <row r="23" spans="1:12" x14ac:dyDescent="0.3">
      <c r="A23">
        <v>43</v>
      </c>
      <c r="B23">
        <v>138900</v>
      </c>
      <c r="D23">
        <v>139000</v>
      </c>
      <c r="F23">
        <v>150000</v>
      </c>
      <c r="H23" s="1">
        <v>148000</v>
      </c>
      <c r="J23" s="1">
        <f t="shared" si="3"/>
        <v>136000</v>
      </c>
      <c r="K23" s="1"/>
      <c r="L23" s="9">
        <f>J23</f>
        <v>136000</v>
      </c>
    </row>
    <row r="24" spans="1:12" x14ac:dyDescent="0.3">
      <c r="B24" s="1">
        <f>SUM(B5:B23)</f>
        <v>2595100</v>
      </c>
      <c r="C24" s="1"/>
      <c r="D24" s="1">
        <f>SUM(D5:D23)</f>
        <v>2601000</v>
      </c>
      <c r="F24" s="1">
        <f>SUM(F5:F23)</f>
        <v>2600000</v>
      </c>
      <c r="H24" s="1">
        <f>SUM(H5:H23)</f>
        <v>2594400</v>
      </c>
      <c r="J24" s="1">
        <f>SUM(J5:J23)</f>
        <v>2398400</v>
      </c>
      <c r="K24" s="1"/>
      <c r="L24" s="9">
        <f>SUM(L5:L23)</f>
        <v>2394300</v>
      </c>
    </row>
    <row r="25" spans="1:12" ht="15" thickBot="1" x14ac:dyDescent="0.35">
      <c r="B25" s="1">
        <f>AVERAGE(B5:B23)</f>
        <v>136584.21052631579</v>
      </c>
      <c r="J25" s="1">
        <f>AVERAGE(J5:J23)</f>
        <v>126231.57894736843</v>
      </c>
      <c r="K25" s="1"/>
      <c r="L25" s="10">
        <f>AVERAGE(L5:L23)</f>
        <v>126015.78947368421</v>
      </c>
    </row>
  </sheetData>
  <pageMargins left="0.7" right="0.7" top="0.75" bottom="0.75" header="0.3" footer="0.3"/>
  <pageSetup scale="8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5833250F1FA14181152E496B7BA299" ma:contentTypeVersion="11" ma:contentTypeDescription="Create a new document." ma:contentTypeScope="" ma:versionID="850af48b6a89283c2c38504fa90df8df">
  <xsd:schema xmlns:xsd="http://www.w3.org/2001/XMLSchema" xmlns:xs="http://www.w3.org/2001/XMLSchema" xmlns:p="http://schemas.microsoft.com/office/2006/metadata/properties" xmlns:ns2="3587d346-06af-42ae-85fc-924a52d5c0b5" targetNamespace="http://schemas.microsoft.com/office/2006/metadata/properties" ma:root="true" ma:fieldsID="5f74ca09c4b9eca091c4f4ecb725dca9" ns2:_="">
    <xsd:import namespace="3587d346-06af-42ae-85fc-924a52d5c0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87d346-06af-42ae-85fc-924a52d5c0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11E8970-9EEE-4FDA-B148-982AEDD8B0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87d346-06af-42ae-85fc-924a52d5c0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440FC7-D2C6-40BF-8E46-A5082CBBC9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CAA65A2-81DD-4379-A351-479C2140282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Scafe</dc:creator>
  <cp:lastModifiedBy>Jeff Klaasen</cp:lastModifiedBy>
  <cp:lastPrinted>2021-08-24T21:22:05Z</cp:lastPrinted>
  <dcterms:created xsi:type="dcterms:W3CDTF">2021-08-13T12:28:51Z</dcterms:created>
  <dcterms:modified xsi:type="dcterms:W3CDTF">2021-09-07T10:49:43Z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0x010100945833250F1FA14181152E496B7BA299</vt:lpwstr>
  </property>
</Properties>
</file>