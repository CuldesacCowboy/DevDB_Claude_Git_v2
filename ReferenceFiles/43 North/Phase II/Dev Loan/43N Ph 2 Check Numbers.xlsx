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Q:\43 North\Phase II\Dev Loan\"/>
    </mc:Choice>
  </mc:AlternateContent>
  <xr:revisionPtr revIDLastSave="0" documentId="8_{22320CAC-05DE-4C0E-BF95-6AD43E493BE3}" xr6:coauthVersionLast="46" xr6:coauthVersionMax="46" xr10:uidLastSave="{00000000-0000-0000-0000-000000000000}"/>
  <bookViews>
    <workbookView xWindow="-108" yWindow="-108" windowWidth="23256" windowHeight="12576" xr2:uid="{361F5DFB-02F6-4157-8EF0-1CB7EBC9FA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" i="1" l="1"/>
  <c r="G79" i="1"/>
  <c r="G46" i="1"/>
  <c r="G27" i="1"/>
  <c r="G23" i="1"/>
  <c r="G20" i="1"/>
  <c r="G5" i="1"/>
  <c r="F81" i="1"/>
  <c r="F49" i="1"/>
  <c r="F48" i="1"/>
  <c r="G51" i="1" s="1"/>
  <c r="F53" i="1"/>
  <c r="F37" i="1"/>
  <c r="G44" i="1" s="1"/>
  <c r="G81" i="1" l="1"/>
</calcChain>
</file>

<file path=xl/sharedStrings.xml><?xml version="1.0" encoding="utf-8"?>
<sst xmlns="http://schemas.openxmlformats.org/spreadsheetml/2006/main" count="22" uniqueCount="16">
  <si>
    <t>43 North  Phase 2</t>
  </si>
  <si>
    <t>Permits - Algoma Twp</t>
  </si>
  <si>
    <t>Permits KCRC</t>
  </si>
  <si>
    <t>SESC</t>
  </si>
  <si>
    <t>Permits - State of MI</t>
  </si>
  <si>
    <t>NPDES</t>
  </si>
  <si>
    <t>Permits KCHD</t>
  </si>
  <si>
    <t>Common Area - Handicap Signs</t>
  </si>
  <si>
    <t>Construction - JDE</t>
  </si>
  <si>
    <t>Legal - Rhodes Mckee</t>
  </si>
  <si>
    <t>Engineering - Roosien</t>
  </si>
  <si>
    <t>Common Area - Test Wells</t>
  </si>
  <si>
    <t>Category</t>
  </si>
  <si>
    <t>Check #</t>
  </si>
  <si>
    <t>Amount</t>
  </si>
  <si>
    <t>Category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</si>
</sst>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43" fontId="0" fillId="0" borderId="0" xfId="1" applyFont="1"/>
    <xf numFmtId="0" fontId="2" fillId="0" borderId="0" xfId="0" applyFont="1"/>
    <xf numFmtId="43" fontId="2" fillId="0" borderId="0" xfId="1" applyFont="1"/>
    <xf numFmtId="43" fontId="0" fillId="0" borderId="0" xfId="0" applyNumberFormat="1"/>
    <xf numFmtId="0" fontId="3" fillId="0" borderId="0" xfId="0" applyFont="1"/>
    <xf numFmtId="0" fontId="0" fillId="0" borderId="0" xfId="0" applyFill="1"/>
    <xf numFmtId="43" fontId="0" fillId="0" borderId="0" xfId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15246-72CB-4F2E-9C4A-748A8D4C4918}">
  <sheetPr>
    <pageSetUpPr fitToPage="1"/>
  </sheetPr>
  <dimension ref="A1:H81"/>
  <sheetViews>
    <sheetView tabSelected="1" workbookViewId="0">
      <selection activeCell="D4" sqref="D4"/>
    </sheetView>
  </sheetViews>
  <sheetFormatPr defaultRowHeight="14.4" x14ac:dyDescent="0.3"/>
  <cols>
    <col min="6" max="6" width="11.109375" style="1" bestFit="1" customWidth="1"/>
    <col min="7" max="7" width="11.109375" bestFit="1" customWidth="1"/>
  </cols>
  <sheetData>
    <row r="1" spans="1:8" x14ac:dyDescent="0.3">
      <c r="A1" t="s">
        <v>0</v>
      </c>
    </row>
    <row r="4" spans="1:8" ht="16.2" x14ac:dyDescent="0.45">
      <c r="A4" s="2" t="s">
        <v>12</v>
      </c>
      <c r="B4" s="2"/>
      <c r="C4" s="2"/>
      <c r="D4" s="2" t="s">
        <v>13</v>
      </c>
      <c r="E4" s="2"/>
      <c r="F4" s="3" t="s">
        <v>14</v>
      </c>
      <c r="G4" s="5" t="s">
        <v>15</v>
      </c>
    </row>
    <row r="5" spans="1:8" x14ac:dyDescent="0.3">
      <c r="A5" t="s">
        <v>8</v>
      </c>
      <c r="D5">
        <v>1101</v>
      </c>
      <c r="F5" s="1">
        <v>138897.29</v>
      </c>
      <c r="G5" s="4">
        <f>F5</f>
        <v>138897.29</v>
      </c>
    </row>
    <row r="7" spans="1:8" x14ac:dyDescent="0.3">
      <c r="A7" t="s">
        <v>1</v>
      </c>
      <c r="D7">
        <v>1086</v>
      </c>
      <c r="F7" s="1">
        <v>1000</v>
      </c>
    </row>
    <row r="8" spans="1:8" x14ac:dyDescent="0.3">
      <c r="D8">
        <v>1122</v>
      </c>
      <c r="F8" s="1">
        <v>2300</v>
      </c>
    </row>
    <row r="9" spans="1:8" x14ac:dyDescent="0.3">
      <c r="D9">
        <v>1123</v>
      </c>
      <c r="F9" s="1">
        <v>2000</v>
      </c>
    </row>
    <row r="10" spans="1:8" x14ac:dyDescent="0.3">
      <c r="D10">
        <v>1129</v>
      </c>
      <c r="F10" s="1">
        <v>1639</v>
      </c>
      <c r="G10" s="4"/>
    </row>
    <row r="11" spans="1:8" x14ac:dyDescent="0.3">
      <c r="D11">
        <v>1166</v>
      </c>
      <c r="F11" s="1">
        <v>3952</v>
      </c>
    </row>
    <row r="12" spans="1:8" x14ac:dyDescent="0.3">
      <c r="D12">
        <v>1173</v>
      </c>
      <c r="F12" s="1">
        <v>3952</v>
      </c>
    </row>
    <row r="13" spans="1:8" x14ac:dyDescent="0.3">
      <c r="D13">
        <v>1186</v>
      </c>
      <c r="F13" s="1">
        <v>3952</v>
      </c>
      <c r="G13" s="4">
        <f>SUM(F7:F13)</f>
        <v>18795</v>
      </c>
    </row>
    <row r="15" spans="1:8" x14ac:dyDescent="0.3">
      <c r="A15" t="s">
        <v>2</v>
      </c>
      <c r="D15">
        <v>1079</v>
      </c>
      <c r="F15" s="1">
        <v>750</v>
      </c>
      <c r="H15" t="s">
        <v>3</v>
      </c>
    </row>
    <row r="16" spans="1:8" x14ac:dyDescent="0.3">
      <c r="D16">
        <v>1117</v>
      </c>
      <c r="F16" s="1">
        <v>780</v>
      </c>
      <c r="H16" t="s">
        <v>3</v>
      </c>
    </row>
    <row r="17" spans="1:8" x14ac:dyDescent="0.3">
      <c r="D17">
        <v>1140</v>
      </c>
      <c r="F17" s="1">
        <v>840</v>
      </c>
      <c r="H17" t="s">
        <v>3</v>
      </c>
    </row>
    <row r="18" spans="1:8" x14ac:dyDescent="0.3">
      <c r="D18">
        <v>1161</v>
      </c>
      <c r="F18" s="1">
        <v>1260</v>
      </c>
      <c r="H18" t="s">
        <v>3</v>
      </c>
    </row>
    <row r="19" spans="1:8" x14ac:dyDescent="0.3">
      <c r="D19">
        <v>1200</v>
      </c>
      <c r="F19" s="1">
        <v>815</v>
      </c>
      <c r="H19" t="s">
        <v>3</v>
      </c>
    </row>
    <row r="20" spans="1:8" x14ac:dyDescent="0.3">
      <c r="D20">
        <v>1201</v>
      </c>
      <c r="F20" s="1">
        <v>9000</v>
      </c>
      <c r="G20" s="4">
        <f>SUM(F15:F20)</f>
        <v>13445</v>
      </c>
      <c r="H20" t="s">
        <v>3</v>
      </c>
    </row>
    <row r="22" spans="1:8" x14ac:dyDescent="0.3">
      <c r="A22" t="s">
        <v>4</v>
      </c>
      <c r="D22">
        <v>1162</v>
      </c>
      <c r="F22" s="1">
        <v>400</v>
      </c>
      <c r="H22" t="s">
        <v>5</v>
      </c>
    </row>
    <row r="23" spans="1:8" x14ac:dyDescent="0.3">
      <c r="D23">
        <v>1081</v>
      </c>
      <c r="F23" s="1">
        <v>400</v>
      </c>
      <c r="G23" s="4">
        <f>SUM(F22:F23)</f>
        <v>800</v>
      </c>
      <c r="H23" t="s">
        <v>5</v>
      </c>
    </row>
    <row r="25" spans="1:8" x14ac:dyDescent="0.3">
      <c r="A25" t="s">
        <v>6</v>
      </c>
      <c r="D25">
        <v>1071</v>
      </c>
      <c r="F25" s="1">
        <v>1800</v>
      </c>
    </row>
    <row r="26" spans="1:8" x14ac:dyDescent="0.3">
      <c r="D26">
        <v>1082</v>
      </c>
      <c r="F26" s="1">
        <v>250</v>
      </c>
    </row>
    <row r="27" spans="1:8" x14ac:dyDescent="0.3">
      <c r="D27">
        <v>1113</v>
      </c>
      <c r="F27" s="1">
        <v>585</v>
      </c>
      <c r="G27" s="4">
        <f>SUM(F25:F27)</f>
        <v>2635</v>
      </c>
    </row>
    <row r="29" spans="1:8" x14ac:dyDescent="0.3">
      <c r="A29" t="s">
        <v>9</v>
      </c>
      <c r="D29" s="6">
        <v>1120</v>
      </c>
      <c r="E29" s="6"/>
      <c r="F29" s="7">
        <v>689.5</v>
      </c>
    </row>
    <row r="30" spans="1:8" x14ac:dyDescent="0.3">
      <c r="D30" s="6">
        <v>1153</v>
      </c>
      <c r="E30" s="6"/>
      <c r="F30" s="7">
        <v>93.75</v>
      </c>
    </row>
    <row r="31" spans="1:8" x14ac:dyDescent="0.3">
      <c r="D31" s="6">
        <v>1154</v>
      </c>
      <c r="E31" s="6"/>
      <c r="F31" s="7">
        <v>113.75</v>
      </c>
    </row>
    <row r="32" spans="1:8" x14ac:dyDescent="0.3">
      <c r="D32" s="6">
        <v>1156</v>
      </c>
      <c r="E32" s="6"/>
      <c r="F32" s="7">
        <v>2355</v>
      </c>
    </row>
    <row r="33" spans="1:7" x14ac:dyDescent="0.3">
      <c r="D33">
        <v>1157</v>
      </c>
      <c r="F33" s="1">
        <v>3955</v>
      </c>
    </row>
    <row r="34" spans="1:7" x14ac:dyDescent="0.3">
      <c r="D34">
        <v>1163</v>
      </c>
      <c r="F34" s="1">
        <v>395</v>
      </c>
    </row>
    <row r="35" spans="1:7" x14ac:dyDescent="0.3">
      <c r="D35">
        <v>1164</v>
      </c>
      <c r="F35" s="1">
        <v>87</v>
      </c>
    </row>
    <row r="36" spans="1:7" x14ac:dyDescent="0.3">
      <c r="D36">
        <v>1165</v>
      </c>
      <c r="F36" s="1">
        <v>95</v>
      </c>
    </row>
    <row r="37" spans="1:7" x14ac:dyDescent="0.3">
      <c r="D37">
        <v>1167</v>
      </c>
      <c r="F37" s="1">
        <f>375+175+350</f>
        <v>900</v>
      </c>
    </row>
    <row r="38" spans="1:7" x14ac:dyDescent="0.3">
      <c r="D38">
        <v>1169</v>
      </c>
      <c r="F38" s="1">
        <v>632.5</v>
      </c>
    </row>
    <row r="39" spans="1:7" x14ac:dyDescent="0.3">
      <c r="D39">
        <v>1181</v>
      </c>
      <c r="F39" s="1">
        <v>395</v>
      </c>
    </row>
    <row r="40" spans="1:7" x14ac:dyDescent="0.3">
      <c r="D40">
        <v>1189</v>
      </c>
      <c r="F40" s="1">
        <v>240</v>
      </c>
    </row>
    <row r="41" spans="1:7" x14ac:dyDescent="0.3">
      <c r="D41">
        <v>1194</v>
      </c>
      <c r="F41" s="1">
        <v>508.75</v>
      </c>
    </row>
    <row r="42" spans="1:7" x14ac:dyDescent="0.3">
      <c r="D42">
        <v>1195</v>
      </c>
      <c r="F42" s="1">
        <v>1765</v>
      </c>
    </row>
    <row r="43" spans="1:7" x14ac:dyDescent="0.3">
      <c r="D43">
        <v>1197</v>
      </c>
      <c r="F43" s="1">
        <v>2084.75</v>
      </c>
    </row>
    <row r="44" spans="1:7" x14ac:dyDescent="0.3">
      <c r="D44">
        <v>1204</v>
      </c>
      <c r="F44" s="1">
        <v>522.5</v>
      </c>
      <c r="G44" s="4">
        <f>SUM(F29:F44)</f>
        <v>14832.5</v>
      </c>
    </row>
    <row r="46" spans="1:7" x14ac:dyDescent="0.3">
      <c r="A46" t="s">
        <v>7</v>
      </c>
      <c r="D46">
        <v>1185</v>
      </c>
      <c r="F46" s="1">
        <v>424.4</v>
      </c>
      <c r="G46" s="4">
        <f>F46</f>
        <v>424.4</v>
      </c>
    </row>
    <row r="48" spans="1:7" x14ac:dyDescent="0.3">
      <c r="A48" t="s">
        <v>11</v>
      </c>
      <c r="D48">
        <v>1093</v>
      </c>
      <c r="F48" s="1">
        <f>9000+12670</f>
        <v>21670</v>
      </c>
    </row>
    <row r="49" spans="1:7" x14ac:dyDescent="0.3">
      <c r="D49">
        <v>1099</v>
      </c>
      <c r="F49" s="1">
        <f>8448+5180+4486</f>
        <v>18114</v>
      </c>
    </row>
    <row r="50" spans="1:7" x14ac:dyDescent="0.3">
      <c r="D50">
        <v>1191</v>
      </c>
      <c r="F50" s="1">
        <v>600</v>
      </c>
    </row>
    <row r="51" spans="1:7" x14ac:dyDescent="0.3">
      <c r="D51" s="6">
        <v>1207</v>
      </c>
      <c r="F51" s="1">
        <v>7350</v>
      </c>
      <c r="G51" s="4">
        <f>SUM(F48:F51)</f>
        <v>47734</v>
      </c>
    </row>
    <row r="53" spans="1:7" x14ac:dyDescent="0.3">
      <c r="A53" t="s">
        <v>10</v>
      </c>
      <c r="D53">
        <v>1070</v>
      </c>
      <c r="F53" s="1">
        <f>1025+150</f>
        <v>1175</v>
      </c>
    </row>
    <row r="54" spans="1:7" x14ac:dyDescent="0.3">
      <c r="D54">
        <v>1073</v>
      </c>
      <c r="F54" s="1">
        <v>5650</v>
      </c>
    </row>
    <row r="55" spans="1:7" x14ac:dyDescent="0.3">
      <c r="D55">
        <v>1077</v>
      </c>
      <c r="F55" s="1">
        <v>4636.25</v>
      </c>
    </row>
    <row r="56" spans="1:7" x14ac:dyDescent="0.3">
      <c r="D56">
        <v>1087</v>
      </c>
      <c r="F56" s="1">
        <v>6526.75</v>
      </c>
    </row>
    <row r="57" spans="1:7" x14ac:dyDescent="0.3">
      <c r="D57">
        <v>1094</v>
      </c>
      <c r="F57" s="1">
        <v>1342.5</v>
      </c>
    </row>
    <row r="58" spans="1:7" x14ac:dyDescent="0.3">
      <c r="D58">
        <v>1095</v>
      </c>
      <c r="F58" s="1">
        <v>3273.5</v>
      </c>
    </row>
    <row r="59" spans="1:7" x14ac:dyDescent="0.3">
      <c r="D59">
        <v>1100</v>
      </c>
      <c r="F59" s="1">
        <v>523.75</v>
      </c>
    </row>
    <row r="60" spans="1:7" x14ac:dyDescent="0.3">
      <c r="D60">
        <v>1106</v>
      </c>
      <c r="F60" s="1">
        <v>500</v>
      </c>
    </row>
    <row r="61" spans="1:7" x14ac:dyDescent="0.3">
      <c r="D61">
        <v>1112</v>
      </c>
      <c r="F61" s="1">
        <v>760</v>
      </c>
    </row>
    <row r="62" spans="1:7" x14ac:dyDescent="0.3">
      <c r="D62">
        <v>1114</v>
      </c>
      <c r="F62" s="1">
        <v>225</v>
      </c>
    </row>
    <row r="63" spans="1:7" x14ac:dyDescent="0.3">
      <c r="D63">
        <v>1119</v>
      </c>
      <c r="F63" s="1">
        <v>550</v>
      </c>
    </row>
    <row r="64" spans="1:7" x14ac:dyDescent="0.3">
      <c r="D64">
        <v>1121</v>
      </c>
      <c r="F64" s="1">
        <v>1700</v>
      </c>
    </row>
    <row r="65" spans="4:7" x14ac:dyDescent="0.3">
      <c r="D65">
        <v>1124</v>
      </c>
      <c r="F65" s="1">
        <v>880</v>
      </c>
    </row>
    <row r="66" spans="4:7" x14ac:dyDescent="0.3">
      <c r="D66">
        <v>1125</v>
      </c>
      <c r="F66" s="1">
        <v>577.5</v>
      </c>
    </row>
    <row r="67" spans="4:7" x14ac:dyDescent="0.3">
      <c r="D67">
        <v>1127</v>
      </c>
      <c r="F67" s="1">
        <v>800</v>
      </c>
    </row>
    <row r="68" spans="4:7" x14ac:dyDescent="0.3">
      <c r="D68">
        <v>1128</v>
      </c>
      <c r="F68" s="1">
        <v>472.5</v>
      </c>
    </row>
    <row r="69" spans="4:7" x14ac:dyDescent="0.3">
      <c r="D69">
        <v>1135</v>
      </c>
      <c r="F69" s="1">
        <v>420</v>
      </c>
    </row>
    <row r="70" spans="4:7" x14ac:dyDescent="0.3">
      <c r="D70">
        <v>1178</v>
      </c>
      <c r="F70" s="1">
        <v>675</v>
      </c>
    </row>
    <row r="71" spans="4:7" x14ac:dyDescent="0.3">
      <c r="D71">
        <v>1182</v>
      </c>
      <c r="F71" s="1">
        <v>202.5</v>
      </c>
    </row>
    <row r="72" spans="4:7" x14ac:dyDescent="0.3">
      <c r="D72">
        <v>1183</v>
      </c>
      <c r="F72" s="1">
        <v>3431.25</v>
      </c>
    </row>
    <row r="73" spans="4:7" x14ac:dyDescent="0.3">
      <c r="D73">
        <v>1184</v>
      </c>
      <c r="F73" s="1">
        <v>2947.5</v>
      </c>
    </row>
    <row r="74" spans="4:7" x14ac:dyDescent="0.3">
      <c r="D74">
        <v>1187</v>
      </c>
      <c r="F74" s="1">
        <v>1552.5</v>
      </c>
    </row>
    <row r="75" spans="4:7" x14ac:dyDescent="0.3">
      <c r="D75">
        <v>1188</v>
      </c>
      <c r="F75" s="1">
        <v>557.5</v>
      </c>
    </row>
    <row r="76" spans="4:7" x14ac:dyDescent="0.3">
      <c r="D76">
        <v>1190</v>
      </c>
      <c r="F76" s="1">
        <v>3307.5</v>
      </c>
    </row>
    <row r="77" spans="4:7" x14ac:dyDescent="0.3">
      <c r="D77">
        <v>1193</v>
      </c>
      <c r="F77" s="1">
        <v>9650</v>
      </c>
    </row>
    <row r="78" spans="4:7" x14ac:dyDescent="0.3">
      <c r="D78">
        <v>1196</v>
      </c>
      <c r="F78" s="1">
        <v>9107</v>
      </c>
    </row>
    <row r="79" spans="4:7" x14ac:dyDescent="0.3">
      <c r="D79">
        <v>1205</v>
      </c>
      <c r="F79" s="1">
        <v>932.5</v>
      </c>
      <c r="G79" s="4">
        <f>SUM(F53:F79)</f>
        <v>62376</v>
      </c>
    </row>
    <row r="81" spans="6:7" x14ac:dyDescent="0.3">
      <c r="F81" s="1">
        <f>SUM(F5:F79)</f>
        <v>299939.19</v>
      </c>
      <c r="G81" s="1">
        <f>SUM(G5:G79)</f>
        <v>299939.19</v>
      </c>
    </row>
  </sheetData>
  <pageMargins left="0.7" right="0.7" top="0.75" bottom="0.75" header="0.3" footer="0.3"/>
  <pageSetup scale="58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5833250F1FA14181152E496B7BA299" ma:contentTypeVersion="10" ma:contentTypeDescription="Create a new document." ma:contentTypeScope="" ma:versionID="d7b606a008edec20db4739c08188d360">
  <xsd:schema xmlns:xsd="http://www.w3.org/2001/XMLSchema" xmlns:xs="http://www.w3.org/2001/XMLSchema" xmlns:p="http://schemas.microsoft.com/office/2006/metadata/properties" xmlns:ns2="3587d346-06af-42ae-85fc-924a52d5c0b5" targetNamespace="http://schemas.microsoft.com/office/2006/metadata/properties" ma:root="true" ma:fieldsID="1f67b74205439298ebc52a80b8182ea9" ns2:_="">
    <xsd:import namespace="3587d346-06af-42ae-85fc-924a52d5c0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87d346-06af-42ae-85fc-924a52d5c0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32A6C5A-0518-4CA3-B6E2-6A9FAB0A1C99}"/>
</file>

<file path=customXml/itemProps2.xml><?xml version="1.0" encoding="utf-8"?>
<ds:datastoreItem xmlns:ds="http://schemas.openxmlformats.org/officeDocument/2006/customXml" ds:itemID="{1F69B6D4-4DBB-421E-9F9B-CBC02F635E28}"/>
</file>

<file path=customXml/itemProps3.xml><?xml version="1.0" encoding="utf-8"?>
<ds:datastoreItem xmlns:ds="http://schemas.openxmlformats.org/officeDocument/2006/customXml" ds:itemID="{9FA8E572-02C6-4F32-AD14-E69CB3CD3D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Klaasen</dc:creator>
  <cp:lastModifiedBy>Jeff Klaasen</cp:lastModifiedBy>
  <cp:lastPrinted>2021-02-22T20:20:00Z</cp:lastPrinted>
  <dcterms:created xsi:type="dcterms:W3CDTF">2021-02-22T19:10:30Z</dcterms:created>
  <dcterms:modified xsi:type="dcterms:W3CDTF">2021-02-22T21:09:55Z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0x010100945833250F1FA14181152E496B7BA299</vt:lpwstr>
  </property>
</Properties>
</file>