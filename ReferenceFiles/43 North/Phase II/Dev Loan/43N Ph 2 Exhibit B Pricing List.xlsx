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Active Development Projects/43 North/Phase II/Dev Loan/"/>
    </mc:Choice>
  </mc:AlternateContent>
  <xr:revisionPtr revIDLastSave="45" documentId="13_ncr:1_{26BAD77B-29EE-4195-A3C5-C8BD350794DB}" xr6:coauthVersionLast="47" xr6:coauthVersionMax="47" xr10:uidLastSave="{C18C197A-9815-4366-8E2C-A84792C17764}"/>
  <bookViews>
    <workbookView xWindow="-108" yWindow="-108" windowWidth="23256" windowHeight="12576" xr2:uid="{A417C871-C35A-4BB7-A02D-E70DCEBB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1" l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25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25" i="1" s="1"/>
  <c r="H25" i="1"/>
</calcChain>
</file>

<file path=xl/sharedStrings.xml><?xml version="1.0" encoding="utf-8"?>
<sst xmlns="http://schemas.openxmlformats.org/spreadsheetml/2006/main" count="47" uniqueCount="47">
  <si>
    <t>43 North Phase 2</t>
  </si>
  <si>
    <t>Unit #</t>
  </si>
  <si>
    <t>Address</t>
  </si>
  <si>
    <t>PPN</t>
  </si>
  <si>
    <t>8858 Lapham</t>
  </si>
  <si>
    <t>8850 Lapham</t>
  </si>
  <si>
    <t>8842 Lapham</t>
  </si>
  <si>
    <t>8834 Lapham</t>
  </si>
  <si>
    <t>8826 Lapham</t>
  </si>
  <si>
    <t>8818 Lapham</t>
  </si>
  <si>
    <t>8810 Lapham</t>
  </si>
  <si>
    <t>8802 Lapham</t>
  </si>
  <si>
    <t>8794 Lapham</t>
  </si>
  <si>
    <t>8786 Lapham</t>
  </si>
  <si>
    <t>8791 Lapham</t>
  </si>
  <si>
    <t>8815 Lapham</t>
  </si>
  <si>
    <t>8821 Lapham</t>
  </si>
  <si>
    <t>8839 Lapham</t>
  </si>
  <si>
    <t>3286 Lapham Ct</t>
  </si>
  <si>
    <t>3278 Lapham Ct</t>
  </si>
  <si>
    <t>3270 Lapham Ct</t>
  </si>
  <si>
    <t>3275 Lapham Ct</t>
  </si>
  <si>
    <t>41-06-35-120-026</t>
  </si>
  <si>
    <t>41-06-35-120-027</t>
  </si>
  <si>
    <t>41-06-35-120-028</t>
  </si>
  <si>
    <t>41-06-35-120-029</t>
  </si>
  <si>
    <t>41-06-35-120-030</t>
  </si>
  <si>
    <t>41-06-35-120-031</t>
  </si>
  <si>
    <t>41-06-35-120-032</t>
  </si>
  <si>
    <t>41-06-35-120-033</t>
  </si>
  <si>
    <t>41-06-35-120-034</t>
  </si>
  <si>
    <t>41-06-35-120-035</t>
  </si>
  <si>
    <t>41-06-35-120-036</t>
  </si>
  <si>
    <t>41-06-35-120-037</t>
  </si>
  <si>
    <t>41-06-35-120-038</t>
  </si>
  <si>
    <t>41-06-35-120-039</t>
  </si>
  <si>
    <t>41-06-35-120-040</t>
  </si>
  <si>
    <t>41-06-35-120-041</t>
  </si>
  <si>
    <t>41-06-35-120-042</t>
  </si>
  <si>
    <t>41-06-35-120-043</t>
  </si>
  <si>
    <t>Retail Lot Price</t>
  </si>
  <si>
    <t>Exhibit B</t>
  </si>
  <si>
    <t>ONLY FOR BANK LOAN _ ACTUALS WILL BE HIGHER!!!!</t>
  </si>
  <si>
    <t>Bank</t>
  </si>
  <si>
    <t>Bank Loan</t>
  </si>
  <si>
    <t>Paydown (79%)</t>
  </si>
  <si>
    <t>Actual Retail (OLD)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</si>
</sst>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55EC-D2A4-4D77-9DF7-96BBE984D24D}">
  <dimension ref="A1:M25"/>
  <sheetViews>
    <sheetView tabSelected="1" workbookViewId="0">
      <selection activeCell="J5" sqref="J5"/>
    </sheetView>
  </sheetViews>
  <sheetFormatPr defaultRowHeight="14.4" x14ac:dyDescent="0.3"/>
  <cols>
    <col min="3" max="6" width="0" hidden="1" customWidth="1"/>
    <col min="8" max="8" width="11.109375" bestFit="1" customWidth="1"/>
    <col min="10" max="12" width="11.109375" customWidth="1"/>
    <col min="13" max="13" width="10.109375" bestFit="1" customWidth="1"/>
  </cols>
  <sheetData>
    <row r="1" spans="1:13" x14ac:dyDescent="0.3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3" x14ac:dyDescent="0.3">
      <c r="A2" s="4" t="s">
        <v>41</v>
      </c>
      <c r="B2" s="4"/>
      <c r="C2" s="4"/>
      <c r="D2" s="4"/>
      <c r="E2" s="4"/>
      <c r="F2" s="4"/>
      <c r="G2" s="4"/>
      <c r="H2" s="4"/>
      <c r="I2" s="4"/>
    </row>
    <row r="3" spans="1:13" x14ac:dyDescent="0.3">
      <c r="A3" t="s">
        <v>42</v>
      </c>
    </row>
    <row r="4" spans="1:13" x14ac:dyDescent="0.3">
      <c r="H4" t="s">
        <v>43</v>
      </c>
      <c r="J4" s="4" t="s">
        <v>46</v>
      </c>
      <c r="K4" s="4"/>
      <c r="L4" s="2"/>
      <c r="M4" t="s">
        <v>44</v>
      </c>
    </row>
    <row r="5" spans="1:13" x14ac:dyDescent="0.3">
      <c r="A5" t="s">
        <v>1</v>
      </c>
      <c r="C5" t="s">
        <v>2</v>
      </c>
      <c r="E5" t="s">
        <v>3</v>
      </c>
      <c r="H5" t="s">
        <v>40</v>
      </c>
      <c r="M5" t="s">
        <v>45</v>
      </c>
    </row>
    <row r="6" spans="1:13" x14ac:dyDescent="0.3">
      <c r="A6">
        <v>26</v>
      </c>
      <c r="C6" t="s">
        <v>4</v>
      </c>
      <c r="E6" t="s">
        <v>22</v>
      </c>
      <c r="H6" s="1">
        <v>102500</v>
      </c>
      <c r="J6" s="3">
        <f>H6*1.165</f>
        <v>119412.5</v>
      </c>
      <c r="K6" s="1">
        <v>119500</v>
      </c>
      <c r="L6" s="1"/>
      <c r="M6" s="3">
        <f>H6*0.79</f>
        <v>80975</v>
      </c>
    </row>
    <row r="7" spans="1:13" x14ac:dyDescent="0.3">
      <c r="A7">
        <v>27</v>
      </c>
      <c r="C7" t="s">
        <v>5</v>
      </c>
      <c r="E7" t="s">
        <v>23</v>
      </c>
      <c r="H7" s="1">
        <v>99500</v>
      </c>
      <c r="J7" s="3">
        <f t="shared" ref="J7:J23" si="0">H7*1.165</f>
        <v>115917.5</v>
      </c>
      <c r="K7" s="1">
        <v>116000</v>
      </c>
      <c r="L7" s="1"/>
      <c r="M7" s="3">
        <f t="shared" ref="M7:M23" si="1">H7*0.79</f>
        <v>78605</v>
      </c>
    </row>
    <row r="8" spans="1:13" x14ac:dyDescent="0.3">
      <c r="A8">
        <v>28</v>
      </c>
      <c r="C8" t="s">
        <v>6</v>
      </c>
      <c r="E8" t="s">
        <v>24</v>
      </c>
      <c r="H8" s="1">
        <v>97000</v>
      </c>
      <c r="J8" s="3">
        <f t="shared" si="0"/>
        <v>113005</v>
      </c>
      <c r="K8" s="1">
        <v>113000</v>
      </c>
      <c r="L8" s="1"/>
      <c r="M8" s="3">
        <f t="shared" si="1"/>
        <v>76630</v>
      </c>
    </row>
    <row r="9" spans="1:13" x14ac:dyDescent="0.3">
      <c r="A9">
        <v>29</v>
      </c>
      <c r="C9" t="s">
        <v>7</v>
      </c>
      <c r="E9" t="s">
        <v>25</v>
      </c>
      <c r="H9" s="1">
        <v>99500</v>
      </c>
      <c r="J9" s="3">
        <f t="shared" si="0"/>
        <v>115917.5</v>
      </c>
      <c r="K9" s="1">
        <v>116000</v>
      </c>
      <c r="L9" s="1"/>
      <c r="M9" s="3">
        <f t="shared" si="1"/>
        <v>78605</v>
      </c>
    </row>
    <row r="10" spans="1:13" x14ac:dyDescent="0.3">
      <c r="A10">
        <v>30</v>
      </c>
      <c r="C10" t="s">
        <v>8</v>
      </c>
      <c r="E10" t="s">
        <v>26</v>
      </c>
      <c r="H10" s="1">
        <v>99500</v>
      </c>
      <c r="J10" s="3">
        <f t="shared" si="0"/>
        <v>115917.5</v>
      </c>
      <c r="K10" s="1">
        <v>116000</v>
      </c>
      <c r="L10" s="1"/>
      <c r="M10" s="3">
        <f t="shared" si="1"/>
        <v>78605</v>
      </c>
    </row>
    <row r="11" spans="1:13" x14ac:dyDescent="0.3">
      <c r="A11">
        <v>31</v>
      </c>
      <c r="C11" t="s">
        <v>9</v>
      </c>
      <c r="E11" t="s">
        <v>27</v>
      </c>
      <c r="H11" s="1">
        <v>99500</v>
      </c>
      <c r="J11" s="3">
        <f t="shared" si="0"/>
        <v>115917.5</v>
      </c>
      <c r="K11" s="1">
        <v>116000</v>
      </c>
      <c r="L11" s="1"/>
      <c r="M11" s="3">
        <f t="shared" si="1"/>
        <v>78605</v>
      </c>
    </row>
    <row r="12" spans="1:13" x14ac:dyDescent="0.3">
      <c r="A12">
        <v>32</v>
      </c>
      <c r="C12" t="s">
        <v>10</v>
      </c>
      <c r="E12" t="s">
        <v>28</v>
      </c>
      <c r="H12" s="1">
        <v>101500</v>
      </c>
      <c r="J12" s="3">
        <f t="shared" si="0"/>
        <v>118247.5</v>
      </c>
      <c r="K12" s="1">
        <v>118000</v>
      </c>
      <c r="L12" s="1"/>
      <c r="M12" s="3">
        <f t="shared" si="1"/>
        <v>80185</v>
      </c>
    </row>
    <row r="13" spans="1:13" x14ac:dyDescent="0.3">
      <c r="A13">
        <v>33</v>
      </c>
      <c r="C13" t="s">
        <v>11</v>
      </c>
      <c r="E13" t="s">
        <v>29</v>
      </c>
      <c r="H13" s="1">
        <v>101500</v>
      </c>
      <c r="J13" s="3">
        <f t="shared" si="0"/>
        <v>118247.5</v>
      </c>
      <c r="K13" s="1">
        <v>118000</v>
      </c>
      <c r="L13" s="1"/>
      <c r="M13" s="3">
        <f t="shared" si="1"/>
        <v>80185</v>
      </c>
    </row>
    <row r="14" spans="1:13" x14ac:dyDescent="0.3">
      <c r="A14">
        <v>34</v>
      </c>
      <c r="C14" t="s">
        <v>12</v>
      </c>
      <c r="E14" t="s">
        <v>30</v>
      </c>
      <c r="H14" s="1">
        <v>101000</v>
      </c>
      <c r="J14" s="3">
        <f t="shared" si="0"/>
        <v>117665</v>
      </c>
      <c r="K14" s="1">
        <v>117500</v>
      </c>
      <c r="L14" s="1"/>
      <c r="M14" s="3">
        <f t="shared" si="1"/>
        <v>79790</v>
      </c>
    </row>
    <row r="15" spans="1:13" x14ac:dyDescent="0.3">
      <c r="A15">
        <v>35</v>
      </c>
      <c r="C15" t="s">
        <v>13</v>
      </c>
      <c r="E15" t="s">
        <v>31</v>
      </c>
      <c r="H15" s="1">
        <v>99000</v>
      </c>
      <c r="J15" s="3">
        <f t="shared" si="0"/>
        <v>115335</v>
      </c>
      <c r="K15" s="1">
        <v>115500</v>
      </c>
      <c r="L15" s="1"/>
      <c r="M15" s="3">
        <f t="shared" si="1"/>
        <v>78210</v>
      </c>
    </row>
    <row r="16" spans="1:13" x14ac:dyDescent="0.3">
      <c r="A16">
        <v>36</v>
      </c>
      <c r="C16" t="s">
        <v>14</v>
      </c>
      <c r="E16" t="s">
        <v>32</v>
      </c>
      <c r="H16" s="1">
        <v>99000</v>
      </c>
      <c r="J16" s="3">
        <f t="shared" si="0"/>
        <v>115335</v>
      </c>
      <c r="K16" s="1">
        <v>115500</v>
      </c>
      <c r="L16" s="1"/>
      <c r="M16" s="3">
        <f t="shared" si="1"/>
        <v>78210</v>
      </c>
    </row>
    <row r="17" spans="1:13" x14ac:dyDescent="0.3">
      <c r="A17">
        <v>37</v>
      </c>
      <c r="C17" t="s">
        <v>15</v>
      </c>
      <c r="E17" t="s">
        <v>33</v>
      </c>
      <c r="H17" s="1">
        <v>103000</v>
      </c>
      <c r="J17" s="3">
        <f t="shared" si="0"/>
        <v>119995</v>
      </c>
      <c r="K17" s="1">
        <v>120000</v>
      </c>
      <c r="L17" s="1"/>
      <c r="M17" s="3">
        <f t="shared" si="1"/>
        <v>81370</v>
      </c>
    </row>
    <row r="18" spans="1:13" x14ac:dyDescent="0.3">
      <c r="A18">
        <v>38</v>
      </c>
      <c r="C18" t="s">
        <v>16</v>
      </c>
      <c r="E18" t="s">
        <v>34</v>
      </c>
      <c r="H18" s="1">
        <v>103000</v>
      </c>
      <c r="J18" s="3">
        <f t="shared" si="0"/>
        <v>119995</v>
      </c>
      <c r="K18" s="1">
        <v>120000</v>
      </c>
      <c r="L18" s="1"/>
      <c r="M18" s="3">
        <f t="shared" si="1"/>
        <v>81370</v>
      </c>
    </row>
    <row r="19" spans="1:13" x14ac:dyDescent="0.3">
      <c r="A19">
        <v>39</v>
      </c>
      <c r="C19" t="s">
        <v>17</v>
      </c>
      <c r="E19" t="s">
        <v>35</v>
      </c>
      <c r="H19" s="1">
        <v>100000</v>
      </c>
      <c r="J19" s="3">
        <f t="shared" si="0"/>
        <v>116500</v>
      </c>
      <c r="K19" s="1">
        <v>116500</v>
      </c>
      <c r="L19" s="1"/>
      <c r="M19" s="3">
        <f t="shared" si="1"/>
        <v>79000</v>
      </c>
    </row>
    <row r="20" spans="1:13" x14ac:dyDescent="0.3">
      <c r="A20">
        <v>40</v>
      </c>
      <c r="C20" t="s">
        <v>18</v>
      </c>
      <c r="E20" t="s">
        <v>36</v>
      </c>
      <c r="H20" s="1">
        <v>92500</v>
      </c>
      <c r="J20" s="3">
        <f t="shared" si="0"/>
        <v>107762.5</v>
      </c>
      <c r="K20" s="1">
        <v>108000</v>
      </c>
      <c r="L20" s="1"/>
      <c r="M20" s="3">
        <f t="shared" si="1"/>
        <v>73075</v>
      </c>
    </row>
    <row r="21" spans="1:13" x14ac:dyDescent="0.3">
      <c r="A21">
        <v>41</v>
      </c>
      <c r="C21" t="s">
        <v>19</v>
      </c>
      <c r="E21" t="s">
        <v>37</v>
      </c>
      <c r="H21" s="1">
        <v>94000</v>
      </c>
      <c r="J21" s="3">
        <f t="shared" si="0"/>
        <v>109510</v>
      </c>
      <c r="K21" s="1">
        <v>109500</v>
      </c>
      <c r="L21" s="1"/>
      <c r="M21" s="3">
        <f t="shared" si="1"/>
        <v>74260</v>
      </c>
    </row>
    <row r="22" spans="1:13" x14ac:dyDescent="0.3">
      <c r="A22">
        <v>42</v>
      </c>
      <c r="C22" t="s">
        <v>20</v>
      </c>
      <c r="E22" t="s">
        <v>38</v>
      </c>
      <c r="H22" s="1">
        <v>99000</v>
      </c>
      <c r="J22" s="3">
        <f t="shared" si="0"/>
        <v>115335</v>
      </c>
      <c r="K22" s="1">
        <v>115500</v>
      </c>
      <c r="L22" s="1"/>
      <c r="M22" s="3">
        <f t="shared" si="1"/>
        <v>78210</v>
      </c>
    </row>
    <row r="23" spans="1:13" x14ac:dyDescent="0.3">
      <c r="A23">
        <v>43</v>
      </c>
      <c r="C23" t="s">
        <v>21</v>
      </c>
      <c r="E23" t="s">
        <v>39</v>
      </c>
      <c r="H23" s="1">
        <v>100000</v>
      </c>
      <c r="J23" s="3">
        <f t="shared" si="0"/>
        <v>116500</v>
      </c>
      <c r="K23" s="1">
        <v>116500</v>
      </c>
      <c r="L23" s="1"/>
      <c r="M23" s="3">
        <f t="shared" si="1"/>
        <v>79000</v>
      </c>
    </row>
    <row r="24" spans="1:13" x14ac:dyDescent="0.3">
      <c r="H24" s="1"/>
    </row>
    <row r="25" spans="1:13" x14ac:dyDescent="0.3">
      <c r="H25" s="1">
        <f>AVERAGE(H6:H23)</f>
        <v>99500</v>
      </c>
      <c r="J25" s="1">
        <f>AVERAGE(J6:J23)</f>
        <v>115917.5</v>
      </c>
      <c r="K25" s="1">
        <f>AVERAGE(K6:K23)</f>
        <v>115944.44444444444</v>
      </c>
      <c r="L25" s="1"/>
    </row>
  </sheetData>
  <mergeCells count="3">
    <mergeCell ref="A1:I1"/>
    <mergeCell ref="A2:I2"/>
    <mergeCell ref="J4:K4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8" ma:contentTypeDescription="Create a new document." ma:contentTypeScope="" ma:versionID="e698b2eee3cba43362f554b2ac266e79">
  <xsd:schema xmlns:xsd="http://www.w3.org/2001/XMLSchema" xmlns:xs="http://www.w3.org/2001/XMLSchema" xmlns:p="http://schemas.microsoft.com/office/2006/metadata/properties" xmlns:ns2="3587d346-06af-42ae-85fc-924a52d5c0b5" xmlns:ns3="b479206e-175b-4ebe-9947-d22816e9318a" targetNamespace="http://schemas.microsoft.com/office/2006/metadata/properties" ma:root="true" ma:fieldsID="8218fb977ac918dcd9e734533da3cc97" ns2:_="" ns3:_="">
    <xsd:import namespace="3587d346-06af-42ae-85fc-924a52d5c0b5"/>
    <xsd:import namespace="b479206e-175b-4ebe-9947-d22816e93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f7b025f-094e-438f-9fef-964aaaa13f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9206e-175b-4ebe-9947-d22816e9318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6ce1fb7-be54-44ed-a3ff-3adbd57c1492}" ma:internalName="TaxCatchAll" ma:showField="CatchAllData" ma:web="b479206e-175b-4ebe-9947-d22816e93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79206e-175b-4ebe-9947-d22816e9318a" xsi:nil="true"/>
    <lcf76f155ced4ddcb4097134ff3c332f xmlns="3587d346-06af-42ae-85fc-924a52d5c0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5C4B57-48E5-4A58-91FE-CE75FDD8CB3A}"/>
</file>

<file path=customXml/itemProps2.xml><?xml version="1.0" encoding="utf-8"?>
<ds:datastoreItem xmlns:ds="http://schemas.openxmlformats.org/officeDocument/2006/customXml" ds:itemID="{2CEDF16B-9AE8-4A51-8694-D64FD1D785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EF1E3B-A281-4D82-8CB5-63AC0A9AE6F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2022-01-24T12:18:25Z</cp:lastPrinted>
  <dcterms:created xsi:type="dcterms:W3CDTF">2021-02-02T21:37:36Z</dcterms:created>
  <dcterms:modified xsi:type="dcterms:W3CDTF">2022-01-24T12:18:50Z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