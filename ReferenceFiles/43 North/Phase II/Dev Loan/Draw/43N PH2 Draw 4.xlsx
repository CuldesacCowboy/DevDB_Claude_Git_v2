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showInkAnnotation="0" defaultThemeVersion="124226"/>
  <mc:AlternateContent xmlns:mc="http://schemas.openxmlformats.org/markup-compatibility/2006">
    <mc:Choice Requires="x15">
      <x15ac:absPath xmlns:x15ac="http://schemas.microsoft.com/office/spreadsheetml/2010/11/ac" url="https://jtbhomes.sharepoint.com/sites/Development/Shared Documents/General/43 North/Phase II/Dev Loan/Draw/"/>
    </mc:Choice>
  </mc:AlternateContent>
  <xr:revisionPtr revIDLastSave="0" documentId="8_{CD964D09-4D26-471D-B058-2B029F5C09A2}" xr6:coauthVersionLast="47" xr6:coauthVersionMax="47" xr10:uidLastSave="{00000000-0000-0000-0000-000000000000}"/>
  <bookViews>
    <workbookView xWindow="-108" yWindow="-108" windowWidth="23256" windowHeight="12576" tabRatio="793" firstSheet="6" activeTab="6" xr2:uid="{00000000-000D-0000-FFFF-FFFF00000000}"/>
  </bookViews>
  <sheets>
    <sheet name="Example of Residential SS" sheetId="1" r:id="rId1"/>
    <sheet name="How to Use Sworn Stmt" sheetId="33" r:id="rId2"/>
    <sheet name="Master" sheetId="32" r:id="rId3"/>
    <sheet name="Draw 1" sheetId="2" r:id="rId4"/>
    <sheet name="Draw 2" sheetId="17" r:id="rId5"/>
    <sheet name="Draw 3" sheetId="18" r:id="rId6"/>
    <sheet name="Draw 4" sheetId="19" r:id="rId7"/>
    <sheet name="Draw 5" sheetId="20" r:id="rId8"/>
    <sheet name="Draw 6" sheetId="21" r:id="rId9"/>
    <sheet name="Draw 7" sheetId="22" r:id="rId10"/>
    <sheet name="Draw 8" sheetId="23" r:id="rId11"/>
    <sheet name="Draw 9" sheetId="24" r:id="rId12"/>
    <sheet name="Draw 10" sheetId="25" r:id="rId13"/>
    <sheet name="Draw 11" sheetId="26" r:id="rId14"/>
    <sheet name="Draw 12" sheetId="27" r:id="rId15"/>
    <sheet name="Draw 13" sheetId="28" r:id="rId16"/>
    <sheet name="Draw 14" sheetId="29" r:id="rId17"/>
    <sheet name="Draw 15" sheetId="30" r:id="rId18"/>
    <sheet name="Draw 16" sheetId="31" r:id="rId19"/>
    <sheet name="Partial Waiver" sheetId="14" r:id="rId20"/>
    <sheet name="Full Waiver" sheetId="16" r:id="rId21"/>
  </sheets>
  <calcPr calcId="191028"/>
  <customWorkbookViews>
    <customWorkbookView name="Robin Barrett - Personal View" guid="{6A167086-9E29-47E7-8144-8AFE691468D8}" mergeInterval="0" personalView="1" maximized="1" windowWidth="1440" windowHeight="675" tabRatio="70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 i="19" l="1"/>
  <c r="H38" i="19"/>
  <c r="H21" i="19"/>
  <c r="H19" i="19"/>
  <c r="K45" i="18"/>
  <c r="H19" i="18"/>
  <c r="H21" i="18"/>
  <c r="H44" i="18"/>
  <c r="H17" i="18"/>
  <c r="H21" i="17"/>
  <c r="K19" i="17"/>
  <c r="G35" i="32"/>
  <c r="G34" i="32"/>
  <c r="J33" i="32"/>
  <c r="G33" i="32"/>
  <c r="G25" i="32"/>
  <c r="G38" i="32"/>
  <c r="G21" i="32"/>
  <c r="B11" i="32" l="1"/>
  <c r="C3" i="30" l="1"/>
  <c r="K47" i="23"/>
  <c r="K83" i="23" s="1"/>
  <c r="K47" i="24"/>
  <c r="K83" i="24" s="1"/>
  <c r="C9" i="31" l="1"/>
  <c r="C13" i="31" s="1"/>
  <c r="L5" i="31"/>
  <c r="C5" i="31"/>
  <c r="L4" i="31"/>
  <c r="G4" i="31"/>
  <c r="B11" i="31" s="1"/>
  <c r="L3" i="31"/>
  <c r="G3" i="31"/>
  <c r="B12" i="31" s="1"/>
  <c r="C3" i="31"/>
  <c r="C9" i="30"/>
  <c r="C13" i="30" s="1"/>
  <c r="L5" i="30"/>
  <c r="C5" i="30"/>
  <c r="L4" i="30"/>
  <c r="G4" i="30"/>
  <c r="B11" i="30" s="1"/>
  <c r="L3" i="30"/>
  <c r="G3" i="30"/>
  <c r="B12" i="30" s="1"/>
  <c r="C9" i="29"/>
  <c r="C13" i="29" s="1"/>
  <c r="L5" i="29"/>
  <c r="C5" i="29"/>
  <c r="L4" i="29"/>
  <c r="G4" i="29"/>
  <c r="B11" i="29" s="1"/>
  <c r="L3" i="29"/>
  <c r="G3" i="29"/>
  <c r="B12" i="29" s="1"/>
  <c r="C3" i="29"/>
  <c r="C9" i="28"/>
  <c r="C13" i="28" s="1"/>
  <c r="L5" i="28"/>
  <c r="C5" i="28"/>
  <c r="L4" i="28"/>
  <c r="G4" i="28"/>
  <c r="B11" i="28" s="1"/>
  <c r="L3" i="28"/>
  <c r="G3" i="28"/>
  <c r="B12" i="28" s="1"/>
  <c r="C3" i="28"/>
  <c r="C9" i="27"/>
  <c r="C13" i="27" s="1"/>
  <c r="L5" i="27"/>
  <c r="C5" i="27"/>
  <c r="L4" i="27"/>
  <c r="G4" i="27"/>
  <c r="B11" i="27" s="1"/>
  <c r="L3" i="27"/>
  <c r="G3" i="27"/>
  <c r="B12" i="27" s="1"/>
  <c r="C3" i="27"/>
  <c r="C9" i="26"/>
  <c r="C13" i="26" s="1"/>
  <c r="L5" i="26"/>
  <c r="C5" i="26"/>
  <c r="L4" i="26"/>
  <c r="G4" i="26"/>
  <c r="B11" i="26" s="1"/>
  <c r="L3" i="26"/>
  <c r="G3" i="26"/>
  <c r="B12" i="26" s="1"/>
  <c r="C3" i="26"/>
  <c r="C9" i="25"/>
  <c r="C13" i="25" s="1"/>
  <c r="L5" i="25"/>
  <c r="C5" i="25"/>
  <c r="L4" i="25"/>
  <c r="G4" i="25"/>
  <c r="B11" i="25" s="1"/>
  <c r="L3" i="25"/>
  <c r="G3" i="25"/>
  <c r="B12" i="25" s="1"/>
  <c r="C3" i="25"/>
  <c r="C9" i="24"/>
  <c r="C13" i="24" s="1"/>
  <c r="L5" i="24"/>
  <c r="C5" i="24"/>
  <c r="L4" i="24"/>
  <c r="G4" i="24"/>
  <c r="B11" i="24" s="1"/>
  <c r="L3" i="24"/>
  <c r="G3" i="24"/>
  <c r="B12" i="24" s="1"/>
  <c r="C3" i="24"/>
  <c r="C9" i="23"/>
  <c r="C13" i="23" s="1"/>
  <c r="L5" i="23"/>
  <c r="C5" i="23"/>
  <c r="L4" i="23"/>
  <c r="G4" i="23"/>
  <c r="B11" i="23" s="1"/>
  <c r="L3" i="23"/>
  <c r="G3" i="23"/>
  <c r="B12" i="23" s="1"/>
  <c r="C3" i="23"/>
  <c r="C9" i="22"/>
  <c r="C13" i="22" s="1"/>
  <c r="L5" i="22"/>
  <c r="C5" i="22"/>
  <c r="L4" i="22"/>
  <c r="G4" i="22"/>
  <c r="B11" i="22" s="1"/>
  <c r="L3" i="22"/>
  <c r="G3" i="22"/>
  <c r="B12" i="22" s="1"/>
  <c r="C3" i="22"/>
  <c r="C9" i="21"/>
  <c r="C13" i="21" s="1"/>
  <c r="L5" i="21"/>
  <c r="C5" i="21"/>
  <c r="L4" i="21"/>
  <c r="G4" i="21"/>
  <c r="B11" i="21" s="1"/>
  <c r="L3" i="21"/>
  <c r="G3" i="21"/>
  <c r="B12" i="21" s="1"/>
  <c r="C3" i="21"/>
  <c r="C9" i="20"/>
  <c r="C13" i="20" s="1"/>
  <c r="L5" i="20"/>
  <c r="C5" i="20"/>
  <c r="L4" i="20"/>
  <c r="G4" i="20"/>
  <c r="B11" i="20" s="1"/>
  <c r="L3" i="20"/>
  <c r="G3" i="20"/>
  <c r="B12" i="20" s="1"/>
  <c r="C3" i="20"/>
  <c r="C9" i="19"/>
  <c r="C13" i="19" s="1"/>
  <c r="L5" i="19"/>
  <c r="C5" i="19"/>
  <c r="L4" i="19"/>
  <c r="G4" i="19"/>
  <c r="B11" i="19" s="1"/>
  <c r="L3" i="19"/>
  <c r="G3" i="19"/>
  <c r="B12" i="19" s="1"/>
  <c r="C3" i="19"/>
  <c r="C9" i="18"/>
  <c r="C13" i="18" s="1"/>
  <c r="L5" i="18"/>
  <c r="C5" i="18"/>
  <c r="L4" i="18"/>
  <c r="G4" i="18"/>
  <c r="B11" i="18" s="1"/>
  <c r="L3" i="18"/>
  <c r="G3" i="18"/>
  <c r="B12" i="18" s="1"/>
  <c r="C3" i="18"/>
  <c r="C9" i="17"/>
  <c r="C13" i="17" s="1"/>
  <c r="L5" i="17"/>
  <c r="C5" i="17"/>
  <c r="L4" i="17"/>
  <c r="G4" i="17"/>
  <c r="B11" i="17" s="1"/>
  <c r="L3" i="17"/>
  <c r="G3" i="17"/>
  <c r="B12" i="17" s="1"/>
  <c r="C3" i="17"/>
  <c r="L4" i="2"/>
  <c r="L5" i="2"/>
  <c r="L3" i="2"/>
  <c r="L2" i="2"/>
  <c r="G4" i="2"/>
  <c r="G3" i="2"/>
  <c r="C9" i="2"/>
  <c r="C5" i="2"/>
  <c r="C3" i="2"/>
  <c r="B17" i="2" l="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82" i="26"/>
  <c r="G81" i="26"/>
  <c r="G80" i="26"/>
  <c r="G79" i="26"/>
  <c r="G78" i="26"/>
  <c r="G77" i="26"/>
  <c r="G76" i="26"/>
  <c r="G75" i="26"/>
  <c r="G74" i="26"/>
  <c r="G73" i="26"/>
  <c r="G72" i="26"/>
  <c r="G71" i="26"/>
  <c r="G70" i="26"/>
  <c r="G69" i="26"/>
  <c r="G68" i="26"/>
  <c r="G67" i="26"/>
  <c r="G66" i="26"/>
  <c r="G65" i="26"/>
  <c r="G64" i="26"/>
  <c r="G63" i="26"/>
  <c r="G62" i="26"/>
  <c r="G61" i="26"/>
  <c r="G60" i="26"/>
  <c r="G59" i="26"/>
  <c r="G58" i="26"/>
  <c r="G57" i="26"/>
  <c r="G56" i="26"/>
  <c r="G55" i="26"/>
  <c r="G54" i="26"/>
  <c r="G53"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F82" i="31"/>
  <c r="E82" i="31"/>
  <c r="D82" i="31"/>
  <c r="B82" i="31"/>
  <c r="F81" i="31"/>
  <c r="E81" i="31"/>
  <c r="D81" i="31"/>
  <c r="B81" i="31"/>
  <c r="F80" i="31"/>
  <c r="E80" i="31"/>
  <c r="D80" i="31"/>
  <c r="B80" i="31"/>
  <c r="F79" i="31"/>
  <c r="E79" i="31"/>
  <c r="D79" i="31"/>
  <c r="B79" i="31"/>
  <c r="F78" i="31"/>
  <c r="E78" i="31"/>
  <c r="D78" i="31"/>
  <c r="B78" i="31"/>
  <c r="F77" i="31"/>
  <c r="E77" i="31"/>
  <c r="D77" i="31"/>
  <c r="B77" i="31"/>
  <c r="F76" i="31"/>
  <c r="E76" i="31"/>
  <c r="D76" i="31"/>
  <c r="B76" i="31"/>
  <c r="F75" i="31"/>
  <c r="E75" i="31"/>
  <c r="D75" i="31"/>
  <c r="B75" i="31"/>
  <c r="F74" i="31"/>
  <c r="E74" i="31"/>
  <c r="D74" i="31"/>
  <c r="B74" i="31"/>
  <c r="F73" i="31"/>
  <c r="E73" i="31"/>
  <c r="D73" i="31"/>
  <c r="B73" i="31"/>
  <c r="F72" i="31"/>
  <c r="E72" i="31"/>
  <c r="D72" i="31"/>
  <c r="B72" i="31"/>
  <c r="F71" i="31"/>
  <c r="E71" i="31"/>
  <c r="D71" i="31"/>
  <c r="B71" i="31"/>
  <c r="F70" i="31"/>
  <c r="E70" i="31"/>
  <c r="D70" i="31"/>
  <c r="B70" i="31"/>
  <c r="F69" i="31"/>
  <c r="E69" i="31"/>
  <c r="D69" i="31"/>
  <c r="B69" i="31"/>
  <c r="F68" i="31"/>
  <c r="E68" i="31"/>
  <c r="D68" i="31"/>
  <c r="B68" i="31"/>
  <c r="F67" i="31"/>
  <c r="E67" i="31"/>
  <c r="D67" i="31"/>
  <c r="B67" i="31"/>
  <c r="F66" i="31"/>
  <c r="E66" i="31"/>
  <c r="D66" i="31"/>
  <c r="B66" i="31"/>
  <c r="F65" i="31"/>
  <c r="E65" i="31"/>
  <c r="D65" i="31"/>
  <c r="B65" i="31"/>
  <c r="F64" i="31"/>
  <c r="E64" i="31"/>
  <c r="D64" i="31"/>
  <c r="B64" i="31"/>
  <c r="F63" i="31"/>
  <c r="E63" i="31"/>
  <c r="D63" i="31"/>
  <c r="B63" i="31"/>
  <c r="F62" i="31"/>
  <c r="E62" i="31"/>
  <c r="D62" i="31"/>
  <c r="B62" i="31"/>
  <c r="F61" i="31"/>
  <c r="E61" i="31"/>
  <c r="D61" i="31"/>
  <c r="B61" i="31"/>
  <c r="F60" i="31"/>
  <c r="E60" i="31"/>
  <c r="D60" i="31"/>
  <c r="B60" i="31"/>
  <c r="F59" i="31"/>
  <c r="E59" i="31"/>
  <c r="D59" i="31"/>
  <c r="B59" i="31"/>
  <c r="F58" i="31"/>
  <c r="E58" i="31"/>
  <c r="D58" i="31"/>
  <c r="B58" i="31"/>
  <c r="F57" i="31"/>
  <c r="E57" i="31"/>
  <c r="D57" i="31"/>
  <c r="B57" i="31"/>
  <c r="F56" i="31"/>
  <c r="E56" i="31"/>
  <c r="D56" i="31"/>
  <c r="B56" i="31"/>
  <c r="F55" i="31"/>
  <c r="E55" i="31"/>
  <c r="D55" i="31"/>
  <c r="B55" i="31"/>
  <c r="F54" i="31"/>
  <c r="E54" i="31"/>
  <c r="D54" i="31"/>
  <c r="B54" i="31"/>
  <c r="F53" i="31"/>
  <c r="E53" i="31"/>
  <c r="D53" i="31"/>
  <c r="B53" i="31"/>
  <c r="F46" i="31"/>
  <c r="E46" i="31"/>
  <c r="D46" i="31"/>
  <c r="B46" i="31"/>
  <c r="F45" i="31"/>
  <c r="E45" i="31"/>
  <c r="D45" i="31"/>
  <c r="B45" i="31"/>
  <c r="F44" i="31"/>
  <c r="E44" i="31"/>
  <c r="D44" i="31"/>
  <c r="B44" i="31"/>
  <c r="F43" i="31"/>
  <c r="E43" i="31"/>
  <c r="D43" i="31"/>
  <c r="B43" i="31"/>
  <c r="F42" i="31"/>
  <c r="E42" i="31"/>
  <c r="D42" i="31"/>
  <c r="B42" i="31"/>
  <c r="F41" i="31"/>
  <c r="E41" i="31"/>
  <c r="D41" i="31"/>
  <c r="B41" i="31"/>
  <c r="F40" i="31"/>
  <c r="E40" i="31"/>
  <c r="D40" i="31"/>
  <c r="B40" i="31"/>
  <c r="F39" i="31"/>
  <c r="E39" i="31"/>
  <c r="D39" i="31"/>
  <c r="B39" i="31"/>
  <c r="F38" i="31"/>
  <c r="E38" i="31"/>
  <c r="D38" i="31"/>
  <c r="B38" i="31"/>
  <c r="F37" i="31"/>
  <c r="E37" i="31"/>
  <c r="D37" i="31"/>
  <c r="B37" i="31"/>
  <c r="F36" i="31"/>
  <c r="E36" i="31"/>
  <c r="D36" i="31"/>
  <c r="B36" i="31"/>
  <c r="F35" i="31"/>
  <c r="E35" i="31"/>
  <c r="D35" i="31"/>
  <c r="B35" i="31"/>
  <c r="F34" i="31"/>
  <c r="E34" i="31"/>
  <c r="D34" i="31"/>
  <c r="B34" i="31"/>
  <c r="F33" i="31"/>
  <c r="E33" i="31"/>
  <c r="D33" i="31"/>
  <c r="B33" i="31"/>
  <c r="F32" i="31"/>
  <c r="E32" i="31"/>
  <c r="D32" i="31"/>
  <c r="B32" i="31"/>
  <c r="F31" i="31"/>
  <c r="E31" i="31"/>
  <c r="D31" i="31"/>
  <c r="B31" i="31"/>
  <c r="F30" i="31"/>
  <c r="E30" i="31"/>
  <c r="D30" i="31"/>
  <c r="B30" i="31"/>
  <c r="F29" i="31"/>
  <c r="E29" i="31"/>
  <c r="D29" i="31"/>
  <c r="B29" i="31"/>
  <c r="F28" i="31"/>
  <c r="E28" i="31"/>
  <c r="D28" i="31"/>
  <c r="B28" i="31"/>
  <c r="F27" i="31"/>
  <c r="E27" i="31"/>
  <c r="D27" i="31"/>
  <c r="B27" i="31"/>
  <c r="F26" i="31"/>
  <c r="E26" i="31"/>
  <c r="D26" i="31"/>
  <c r="B26" i="31"/>
  <c r="F25" i="31"/>
  <c r="E25" i="31"/>
  <c r="D25" i="31"/>
  <c r="B25" i="31"/>
  <c r="F24" i="31"/>
  <c r="E24" i="31"/>
  <c r="D24" i="31"/>
  <c r="B24" i="31"/>
  <c r="F23" i="31"/>
  <c r="E23" i="31"/>
  <c r="D23" i="31"/>
  <c r="B23" i="31"/>
  <c r="F22" i="31"/>
  <c r="E22" i="31"/>
  <c r="D22" i="31"/>
  <c r="B22" i="31"/>
  <c r="F21" i="31"/>
  <c r="E21" i="31"/>
  <c r="D21" i="31"/>
  <c r="B21" i="31"/>
  <c r="F20" i="31"/>
  <c r="E20" i="31"/>
  <c r="D20" i="31"/>
  <c r="B20" i="31"/>
  <c r="F19" i="31"/>
  <c r="E19" i="31"/>
  <c r="D19" i="31"/>
  <c r="B19" i="31"/>
  <c r="F18" i="31"/>
  <c r="E18" i="31"/>
  <c r="D18" i="31"/>
  <c r="B18" i="31"/>
  <c r="F17" i="31"/>
  <c r="E17" i="31"/>
  <c r="D17" i="31"/>
  <c r="B17" i="31"/>
  <c r="F82" i="30"/>
  <c r="E82" i="30"/>
  <c r="D82" i="30"/>
  <c r="B82" i="30"/>
  <c r="F81" i="30"/>
  <c r="E81" i="30"/>
  <c r="D81" i="30"/>
  <c r="B81" i="30"/>
  <c r="F80" i="30"/>
  <c r="E80" i="30"/>
  <c r="D80" i="30"/>
  <c r="B80" i="30"/>
  <c r="F79" i="30"/>
  <c r="E79" i="30"/>
  <c r="D79" i="30"/>
  <c r="B79" i="30"/>
  <c r="F78" i="30"/>
  <c r="E78" i="30"/>
  <c r="D78" i="30"/>
  <c r="B78" i="30"/>
  <c r="F77" i="30"/>
  <c r="E77" i="30"/>
  <c r="D77" i="30"/>
  <c r="B77" i="30"/>
  <c r="F76" i="30"/>
  <c r="E76" i="30"/>
  <c r="D76" i="30"/>
  <c r="B76" i="30"/>
  <c r="F75" i="30"/>
  <c r="E75" i="30"/>
  <c r="D75" i="30"/>
  <c r="B75" i="30"/>
  <c r="F74" i="30"/>
  <c r="E74" i="30"/>
  <c r="D74" i="30"/>
  <c r="B74" i="30"/>
  <c r="F73" i="30"/>
  <c r="E73" i="30"/>
  <c r="D73" i="30"/>
  <c r="B73" i="30"/>
  <c r="F72" i="30"/>
  <c r="E72" i="30"/>
  <c r="D72" i="30"/>
  <c r="B72" i="30"/>
  <c r="F71" i="30"/>
  <c r="E71" i="30"/>
  <c r="D71" i="30"/>
  <c r="B71" i="30"/>
  <c r="F70" i="30"/>
  <c r="E70" i="30"/>
  <c r="D70" i="30"/>
  <c r="B70" i="30"/>
  <c r="F69" i="30"/>
  <c r="E69" i="30"/>
  <c r="D69" i="30"/>
  <c r="B69" i="30"/>
  <c r="F68" i="30"/>
  <c r="E68" i="30"/>
  <c r="D68" i="30"/>
  <c r="B68" i="30"/>
  <c r="F67" i="30"/>
  <c r="E67" i="30"/>
  <c r="D67" i="30"/>
  <c r="B67" i="30"/>
  <c r="F66" i="30"/>
  <c r="E66" i="30"/>
  <c r="D66" i="30"/>
  <c r="B66" i="30"/>
  <c r="F65" i="30"/>
  <c r="E65" i="30"/>
  <c r="D65" i="30"/>
  <c r="B65" i="30"/>
  <c r="F64" i="30"/>
  <c r="E64" i="30"/>
  <c r="D64" i="30"/>
  <c r="B64" i="30"/>
  <c r="F63" i="30"/>
  <c r="E63" i="30"/>
  <c r="D63" i="30"/>
  <c r="B63" i="30"/>
  <c r="F62" i="30"/>
  <c r="E62" i="30"/>
  <c r="D62" i="30"/>
  <c r="B62" i="30"/>
  <c r="F61" i="30"/>
  <c r="E61" i="30"/>
  <c r="D61" i="30"/>
  <c r="B61" i="30"/>
  <c r="F60" i="30"/>
  <c r="E60" i="30"/>
  <c r="D60" i="30"/>
  <c r="B60" i="30"/>
  <c r="F59" i="30"/>
  <c r="E59" i="30"/>
  <c r="D59" i="30"/>
  <c r="B59" i="30"/>
  <c r="F58" i="30"/>
  <c r="E58" i="30"/>
  <c r="D58" i="30"/>
  <c r="B58" i="30"/>
  <c r="F57" i="30"/>
  <c r="E57" i="30"/>
  <c r="D57" i="30"/>
  <c r="B57" i="30"/>
  <c r="F56" i="30"/>
  <c r="E56" i="30"/>
  <c r="D56" i="30"/>
  <c r="B56" i="30"/>
  <c r="F55" i="30"/>
  <c r="E55" i="30"/>
  <c r="D55" i="30"/>
  <c r="B55" i="30"/>
  <c r="F54" i="30"/>
  <c r="E54" i="30"/>
  <c r="D54" i="30"/>
  <c r="B54" i="30"/>
  <c r="F53" i="30"/>
  <c r="E53" i="30"/>
  <c r="D53" i="30"/>
  <c r="B53" i="30"/>
  <c r="F46" i="30"/>
  <c r="E46" i="30"/>
  <c r="D46" i="30"/>
  <c r="B46" i="30"/>
  <c r="F45" i="30"/>
  <c r="E45" i="30"/>
  <c r="D45" i="30"/>
  <c r="B45" i="30"/>
  <c r="F44" i="30"/>
  <c r="E44" i="30"/>
  <c r="D44" i="30"/>
  <c r="B44" i="30"/>
  <c r="F43" i="30"/>
  <c r="E43" i="30"/>
  <c r="D43" i="30"/>
  <c r="B43" i="30"/>
  <c r="F42" i="30"/>
  <c r="E42" i="30"/>
  <c r="D42" i="30"/>
  <c r="B42" i="30"/>
  <c r="F41" i="30"/>
  <c r="E41" i="30"/>
  <c r="D41" i="30"/>
  <c r="B41" i="30"/>
  <c r="F40" i="30"/>
  <c r="E40" i="30"/>
  <c r="D40" i="30"/>
  <c r="B40" i="30"/>
  <c r="F39" i="30"/>
  <c r="E39" i="30"/>
  <c r="D39" i="30"/>
  <c r="B39" i="30"/>
  <c r="F38" i="30"/>
  <c r="E38" i="30"/>
  <c r="D38" i="30"/>
  <c r="B38" i="30"/>
  <c r="F37" i="30"/>
  <c r="E37" i="30"/>
  <c r="D37" i="30"/>
  <c r="B37" i="30"/>
  <c r="F36" i="30"/>
  <c r="E36" i="30"/>
  <c r="D36" i="30"/>
  <c r="B36" i="30"/>
  <c r="F35" i="30"/>
  <c r="E35" i="30"/>
  <c r="D35" i="30"/>
  <c r="B35" i="30"/>
  <c r="F34" i="30"/>
  <c r="E34" i="30"/>
  <c r="D34" i="30"/>
  <c r="B34" i="30"/>
  <c r="F33" i="30"/>
  <c r="E33" i="30"/>
  <c r="D33" i="30"/>
  <c r="B33" i="30"/>
  <c r="F32" i="30"/>
  <c r="E32" i="30"/>
  <c r="D32" i="30"/>
  <c r="B32" i="30"/>
  <c r="F31" i="30"/>
  <c r="E31" i="30"/>
  <c r="D31" i="30"/>
  <c r="B31" i="30"/>
  <c r="F30" i="30"/>
  <c r="E30" i="30"/>
  <c r="D30" i="30"/>
  <c r="B30" i="30"/>
  <c r="F29" i="30"/>
  <c r="E29" i="30"/>
  <c r="D29" i="30"/>
  <c r="B29" i="30"/>
  <c r="F28" i="30"/>
  <c r="E28" i="30"/>
  <c r="D28" i="30"/>
  <c r="B28" i="30"/>
  <c r="F27" i="30"/>
  <c r="E27" i="30"/>
  <c r="D27" i="30"/>
  <c r="B27" i="30"/>
  <c r="F26" i="30"/>
  <c r="E26" i="30"/>
  <c r="D26" i="30"/>
  <c r="B26" i="30"/>
  <c r="F25" i="30"/>
  <c r="E25" i="30"/>
  <c r="D25" i="30"/>
  <c r="B25" i="30"/>
  <c r="F24" i="30"/>
  <c r="E24" i="30"/>
  <c r="D24" i="30"/>
  <c r="B24" i="30"/>
  <c r="F23" i="30"/>
  <c r="E23" i="30"/>
  <c r="D23" i="30"/>
  <c r="B23" i="30"/>
  <c r="F22" i="30"/>
  <c r="E22" i="30"/>
  <c r="D22" i="30"/>
  <c r="B22" i="30"/>
  <c r="F21" i="30"/>
  <c r="E21" i="30"/>
  <c r="D21" i="30"/>
  <c r="B21" i="30"/>
  <c r="F20" i="30"/>
  <c r="E20" i="30"/>
  <c r="D20" i="30"/>
  <c r="B20" i="30"/>
  <c r="F19" i="30"/>
  <c r="E19" i="30"/>
  <c r="D19" i="30"/>
  <c r="B19" i="30"/>
  <c r="F18" i="30"/>
  <c r="E18" i="30"/>
  <c r="D18" i="30"/>
  <c r="B18" i="30"/>
  <c r="F17" i="30"/>
  <c r="E17" i="30"/>
  <c r="D17" i="30"/>
  <c r="B17" i="30"/>
  <c r="F82" i="29"/>
  <c r="E82" i="29"/>
  <c r="D82" i="29"/>
  <c r="B82" i="29"/>
  <c r="F81" i="29"/>
  <c r="E81" i="29"/>
  <c r="D81" i="29"/>
  <c r="B81" i="29"/>
  <c r="F80" i="29"/>
  <c r="E80" i="29"/>
  <c r="D80" i="29"/>
  <c r="B80" i="29"/>
  <c r="F79" i="29"/>
  <c r="E79" i="29"/>
  <c r="D79" i="29"/>
  <c r="B79" i="29"/>
  <c r="F78" i="29"/>
  <c r="E78" i="29"/>
  <c r="D78" i="29"/>
  <c r="B78" i="29"/>
  <c r="F77" i="29"/>
  <c r="E77" i="29"/>
  <c r="D77" i="29"/>
  <c r="B77" i="29"/>
  <c r="F76" i="29"/>
  <c r="E76" i="29"/>
  <c r="D76" i="29"/>
  <c r="B76" i="29"/>
  <c r="F75" i="29"/>
  <c r="E75" i="29"/>
  <c r="D75" i="29"/>
  <c r="B75" i="29"/>
  <c r="F74" i="29"/>
  <c r="E74" i="29"/>
  <c r="D74" i="29"/>
  <c r="B74" i="29"/>
  <c r="F73" i="29"/>
  <c r="E73" i="29"/>
  <c r="D73" i="29"/>
  <c r="B73" i="29"/>
  <c r="F72" i="29"/>
  <c r="E72" i="29"/>
  <c r="D72" i="29"/>
  <c r="B72" i="29"/>
  <c r="F71" i="29"/>
  <c r="E71" i="29"/>
  <c r="D71" i="29"/>
  <c r="B71" i="29"/>
  <c r="F70" i="29"/>
  <c r="E70" i="29"/>
  <c r="D70" i="29"/>
  <c r="B70" i="29"/>
  <c r="F69" i="29"/>
  <c r="E69" i="29"/>
  <c r="D69" i="29"/>
  <c r="B69" i="29"/>
  <c r="F68" i="29"/>
  <c r="E68" i="29"/>
  <c r="D68" i="29"/>
  <c r="B68" i="29"/>
  <c r="F67" i="29"/>
  <c r="E67" i="29"/>
  <c r="D67" i="29"/>
  <c r="B67" i="29"/>
  <c r="F66" i="29"/>
  <c r="E66" i="29"/>
  <c r="D66" i="29"/>
  <c r="B66" i="29"/>
  <c r="F65" i="29"/>
  <c r="E65" i="29"/>
  <c r="D65" i="29"/>
  <c r="B65" i="29"/>
  <c r="F64" i="29"/>
  <c r="E64" i="29"/>
  <c r="D64" i="29"/>
  <c r="B64" i="29"/>
  <c r="F63" i="29"/>
  <c r="E63" i="29"/>
  <c r="D63" i="29"/>
  <c r="B63" i="29"/>
  <c r="F62" i="29"/>
  <c r="E62" i="29"/>
  <c r="D62" i="29"/>
  <c r="B62" i="29"/>
  <c r="F61" i="29"/>
  <c r="E61" i="29"/>
  <c r="D61" i="29"/>
  <c r="B61" i="29"/>
  <c r="F60" i="29"/>
  <c r="E60" i="29"/>
  <c r="D60" i="29"/>
  <c r="B60" i="29"/>
  <c r="F59" i="29"/>
  <c r="E59" i="29"/>
  <c r="D59" i="29"/>
  <c r="B59" i="29"/>
  <c r="F58" i="29"/>
  <c r="E58" i="29"/>
  <c r="D58" i="29"/>
  <c r="B58" i="29"/>
  <c r="F57" i="29"/>
  <c r="E57" i="29"/>
  <c r="D57" i="29"/>
  <c r="B57" i="29"/>
  <c r="F56" i="29"/>
  <c r="E56" i="29"/>
  <c r="D56" i="29"/>
  <c r="B56" i="29"/>
  <c r="F55" i="29"/>
  <c r="E55" i="29"/>
  <c r="D55" i="29"/>
  <c r="B55" i="29"/>
  <c r="F54" i="29"/>
  <c r="E54" i="29"/>
  <c r="D54" i="29"/>
  <c r="B54" i="29"/>
  <c r="F53" i="29"/>
  <c r="E53" i="29"/>
  <c r="D53" i="29"/>
  <c r="B53" i="29"/>
  <c r="F46" i="29"/>
  <c r="E46" i="29"/>
  <c r="D46" i="29"/>
  <c r="B46" i="29"/>
  <c r="F45" i="29"/>
  <c r="E45" i="29"/>
  <c r="D45" i="29"/>
  <c r="B45" i="29"/>
  <c r="F44" i="29"/>
  <c r="E44" i="29"/>
  <c r="D44" i="29"/>
  <c r="B44" i="29"/>
  <c r="F43" i="29"/>
  <c r="E43" i="29"/>
  <c r="D43" i="29"/>
  <c r="B43" i="29"/>
  <c r="F42" i="29"/>
  <c r="E42" i="29"/>
  <c r="D42" i="29"/>
  <c r="B42" i="29"/>
  <c r="F41" i="29"/>
  <c r="E41" i="29"/>
  <c r="D41" i="29"/>
  <c r="B41" i="29"/>
  <c r="F40" i="29"/>
  <c r="E40" i="29"/>
  <c r="D40" i="29"/>
  <c r="B40" i="29"/>
  <c r="F39" i="29"/>
  <c r="E39" i="29"/>
  <c r="D39" i="29"/>
  <c r="B39" i="29"/>
  <c r="F38" i="29"/>
  <c r="E38" i="29"/>
  <c r="D38" i="29"/>
  <c r="B38" i="29"/>
  <c r="F37" i="29"/>
  <c r="E37" i="29"/>
  <c r="D37" i="29"/>
  <c r="B37" i="29"/>
  <c r="F36" i="29"/>
  <c r="E36" i="29"/>
  <c r="D36" i="29"/>
  <c r="B36" i="29"/>
  <c r="F35" i="29"/>
  <c r="E35" i="29"/>
  <c r="D35" i="29"/>
  <c r="B35" i="29"/>
  <c r="F34" i="29"/>
  <c r="E34" i="29"/>
  <c r="D34" i="29"/>
  <c r="B34" i="29"/>
  <c r="F33" i="29"/>
  <c r="E33" i="29"/>
  <c r="D33" i="29"/>
  <c r="B33" i="29"/>
  <c r="F32" i="29"/>
  <c r="E32" i="29"/>
  <c r="D32" i="29"/>
  <c r="B32" i="29"/>
  <c r="F31" i="29"/>
  <c r="E31" i="29"/>
  <c r="D31" i="29"/>
  <c r="B31" i="29"/>
  <c r="F30" i="29"/>
  <c r="E30" i="29"/>
  <c r="D30" i="29"/>
  <c r="B30" i="29"/>
  <c r="F29" i="29"/>
  <c r="E29" i="29"/>
  <c r="D29" i="29"/>
  <c r="B29" i="29"/>
  <c r="F28" i="29"/>
  <c r="E28" i="29"/>
  <c r="D28" i="29"/>
  <c r="B28" i="29"/>
  <c r="F27" i="29"/>
  <c r="E27" i="29"/>
  <c r="D27" i="29"/>
  <c r="B27" i="29"/>
  <c r="F26" i="29"/>
  <c r="E26" i="29"/>
  <c r="D26" i="29"/>
  <c r="B26" i="29"/>
  <c r="F25" i="29"/>
  <c r="E25" i="29"/>
  <c r="D25" i="29"/>
  <c r="B25" i="29"/>
  <c r="F24" i="29"/>
  <c r="E24" i="29"/>
  <c r="D24" i="29"/>
  <c r="B24" i="29"/>
  <c r="F23" i="29"/>
  <c r="E23" i="29"/>
  <c r="D23" i="29"/>
  <c r="B23" i="29"/>
  <c r="F22" i="29"/>
  <c r="E22" i="29"/>
  <c r="D22" i="29"/>
  <c r="B22" i="29"/>
  <c r="F21" i="29"/>
  <c r="E21" i="29"/>
  <c r="D21" i="29"/>
  <c r="B21" i="29"/>
  <c r="F20" i="29"/>
  <c r="E20" i="29"/>
  <c r="D20" i="29"/>
  <c r="B20" i="29"/>
  <c r="F19" i="29"/>
  <c r="E19" i="29"/>
  <c r="D19" i="29"/>
  <c r="B19" i="29"/>
  <c r="F18" i="29"/>
  <c r="E18" i="29"/>
  <c r="D18" i="29"/>
  <c r="B18" i="29"/>
  <c r="F17" i="29"/>
  <c r="E17" i="29"/>
  <c r="D17" i="29"/>
  <c r="B17" i="29"/>
  <c r="F82" i="28"/>
  <c r="E82" i="28"/>
  <c r="D82" i="28"/>
  <c r="B82" i="28"/>
  <c r="F81" i="28"/>
  <c r="E81" i="28"/>
  <c r="D81" i="28"/>
  <c r="B81" i="28"/>
  <c r="F80" i="28"/>
  <c r="E80" i="28"/>
  <c r="D80" i="28"/>
  <c r="B80" i="28"/>
  <c r="F79" i="28"/>
  <c r="E79" i="28"/>
  <c r="D79" i="28"/>
  <c r="B79" i="28"/>
  <c r="F78" i="28"/>
  <c r="E78" i="28"/>
  <c r="D78" i="28"/>
  <c r="B78" i="28"/>
  <c r="F77" i="28"/>
  <c r="E77" i="28"/>
  <c r="D77" i="28"/>
  <c r="B77" i="28"/>
  <c r="F76" i="28"/>
  <c r="E76" i="28"/>
  <c r="D76" i="28"/>
  <c r="B76" i="28"/>
  <c r="F75" i="28"/>
  <c r="E75" i="28"/>
  <c r="D75" i="28"/>
  <c r="B75" i="28"/>
  <c r="F74" i="28"/>
  <c r="E74" i="28"/>
  <c r="D74" i="28"/>
  <c r="B74" i="28"/>
  <c r="F73" i="28"/>
  <c r="E73" i="28"/>
  <c r="D73" i="28"/>
  <c r="B73" i="28"/>
  <c r="F72" i="28"/>
  <c r="E72" i="28"/>
  <c r="D72" i="28"/>
  <c r="B72" i="28"/>
  <c r="F71" i="28"/>
  <c r="E71" i="28"/>
  <c r="D71" i="28"/>
  <c r="B71" i="28"/>
  <c r="F70" i="28"/>
  <c r="E70" i="28"/>
  <c r="D70" i="28"/>
  <c r="B70" i="28"/>
  <c r="F69" i="28"/>
  <c r="E69" i="28"/>
  <c r="D69" i="28"/>
  <c r="B69" i="28"/>
  <c r="F68" i="28"/>
  <c r="E68" i="28"/>
  <c r="D68" i="28"/>
  <c r="B68" i="28"/>
  <c r="F67" i="28"/>
  <c r="E67" i="28"/>
  <c r="D67" i="28"/>
  <c r="B67" i="28"/>
  <c r="F66" i="28"/>
  <c r="E66" i="28"/>
  <c r="D66" i="28"/>
  <c r="B66" i="28"/>
  <c r="F65" i="28"/>
  <c r="E65" i="28"/>
  <c r="D65" i="28"/>
  <c r="B65" i="28"/>
  <c r="F64" i="28"/>
  <c r="E64" i="28"/>
  <c r="D64" i="28"/>
  <c r="B64" i="28"/>
  <c r="F63" i="28"/>
  <c r="E63" i="28"/>
  <c r="D63" i="28"/>
  <c r="B63" i="28"/>
  <c r="F62" i="28"/>
  <c r="E62" i="28"/>
  <c r="D62" i="28"/>
  <c r="B62" i="28"/>
  <c r="F61" i="28"/>
  <c r="E61" i="28"/>
  <c r="D61" i="28"/>
  <c r="B61" i="28"/>
  <c r="F60" i="28"/>
  <c r="E60" i="28"/>
  <c r="D60" i="28"/>
  <c r="B60" i="28"/>
  <c r="F59" i="28"/>
  <c r="E59" i="28"/>
  <c r="D59" i="28"/>
  <c r="B59" i="28"/>
  <c r="F58" i="28"/>
  <c r="E58" i="28"/>
  <c r="D58" i="28"/>
  <c r="B58" i="28"/>
  <c r="F57" i="28"/>
  <c r="E57" i="28"/>
  <c r="D57" i="28"/>
  <c r="B57" i="28"/>
  <c r="F56" i="28"/>
  <c r="E56" i="28"/>
  <c r="D56" i="28"/>
  <c r="B56" i="28"/>
  <c r="F55" i="28"/>
  <c r="E55" i="28"/>
  <c r="D55" i="28"/>
  <c r="B55" i="28"/>
  <c r="F54" i="28"/>
  <c r="E54" i="28"/>
  <c r="D54" i="28"/>
  <c r="B54" i="28"/>
  <c r="F53" i="28"/>
  <c r="E53" i="28"/>
  <c r="D53" i="28"/>
  <c r="B53" i="28"/>
  <c r="F46" i="28"/>
  <c r="E46" i="28"/>
  <c r="D46" i="28"/>
  <c r="B46" i="28"/>
  <c r="F45" i="28"/>
  <c r="E45" i="28"/>
  <c r="D45" i="28"/>
  <c r="B45" i="28"/>
  <c r="F44" i="28"/>
  <c r="E44" i="28"/>
  <c r="D44" i="28"/>
  <c r="B44" i="28"/>
  <c r="F43" i="28"/>
  <c r="E43" i="28"/>
  <c r="D43" i="28"/>
  <c r="B43" i="28"/>
  <c r="F42" i="28"/>
  <c r="E42" i="28"/>
  <c r="D42" i="28"/>
  <c r="B42" i="28"/>
  <c r="F41" i="28"/>
  <c r="E41" i="28"/>
  <c r="D41" i="28"/>
  <c r="B41" i="28"/>
  <c r="F40" i="28"/>
  <c r="E40" i="28"/>
  <c r="D40" i="28"/>
  <c r="B40" i="28"/>
  <c r="F39" i="28"/>
  <c r="E39" i="28"/>
  <c r="D39" i="28"/>
  <c r="B39" i="28"/>
  <c r="F38" i="28"/>
  <c r="E38" i="28"/>
  <c r="D38" i="28"/>
  <c r="B38" i="28"/>
  <c r="F37" i="28"/>
  <c r="E37" i="28"/>
  <c r="D37" i="28"/>
  <c r="B37" i="28"/>
  <c r="F36" i="28"/>
  <c r="E36" i="28"/>
  <c r="D36" i="28"/>
  <c r="B36" i="28"/>
  <c r="F35" i="28"/>
  <c r="E35" i="28"/>
  <c r="D35" i="28"/>
  <c r="B35" i="28"/>
  <c r="F34" i="28"/>
  <c r="E34" i="28"/>
  <c r="D34" i="28"/>
  <c r="B34" i="28"/>
  <c r="F33" i="28"/>
  <c r="E33" i="28"/>
  <c r="D33" i="28"/>
  <c r="B33" i="28"/>
  <c r="F32" i="28"/>
  <c r="E32" i="28"/>
  <c r="D32" i="28"/>
  <c r="B32" i="28"/>
  <c r="F31" i="28"/>
  <c r="E31" i="28"/>
  <c r="D31" i="28"/>
  <c r="B31" i="28"/>
  <c r="F30" i="28"/>
  <c r="E30" i="28"/>
  <c r="D30" i="28"/>
  <c r="B30" i="28"/>
  <c r="F29" i="28"/>
  <c r="E29" i="28"/>
  <c r="D29" i="28"/>
  <c r="B29" i="28"/>
  <c r="F28" i="28"/>
  <c r="E28" i="28"/>
  <c r="D28" i="28"/>
  <c r="B28" i="28"/>
  <c r="F27" i="28"/>
  <c r="E27" i="28"/>
  <c r="D27" i="28"/>
  <c r="B27" i="28"/>
  <c r="F26" i="28"/>
  <c r="E26" i="28"/>
  <c r="D26" i="28"/>
  <c r="B26" i="28"/>
  <c r="F25" i="28"/>
  <c r="E25" i="28"/>
  <c r="D25" i="28"/>
  <c r="B25" i="28"/>
  <c r="F24" i="28"/>
  <c r="E24" i="28"/>
  <c r="D24" i="28"/>
  <c r="B24" i="28"/>
  <c r="F23" i="28"/>
  <c r="E23" i="28"/>
  <c r="D23" i="28"/>
  <c r="B23" i="28"/>
  <c r="F22" i="28"/>
  <c r="E22" i="28"/>
  <c r="D22" i="28"/>
  <c r="B22" i="28"/>
  <c r="F21" i="28"/>
  <c r="E21" i="28"/>
  <c r="D21" i="28"/>
  <c r="B21" i="28"/>
  <c r="F20" i="28"/>
  <c r="E20" i="28"/>
  <c r="D20" i="28"/>
  <c r="B20" i="28"/>
  <c r="F19" i="28"/>
  <c r="E19" i="28"/>
  <c r="D19" i="28"/>
  <c r="B19" i="28"/>
  <c r="F18" i="28"/>
  <c r="E18" i="28"/>
  <c r="D18" i="28"/>
  <c r="B18" i="28"/>
  <c r="F17" i="28"/>
  <c r="E17" i="28"/>
  <c r="D17" i="28"/>
  <c r="B17" i="28"/>
  <c r="F82" i="27"/>
  <c r="E82" i="27"/>
  <c r="D82" i="27"/>
  <c r="B82" i="27"/>
  <c r="F81" i="27"/>
  <c r="E81" i="27"/>
  <c r="D81" i="27"/>
  <c r="B81" i="27"/>
  <c r="F80" i="27"/>
  <c r="E80" i="27"/>
  <c r="D80" i="27"/>
  <c r="B80" i="27"/>
  <c r="F79" i="27"/>
  <c r="E79" i="27"/>
  <c r="D79" i="27"/>
  <c r="B79" i="27"/>
  <c r="F78" i="27"/>
  <c r="E78" i="27"/>
  <c r="D78" i="27"/>
  <c r="B78" i="27"/>
  <c r="F77" i="27"/>
  <c r="E77" i="27"/>
  <c r="D77" i="27"/>
  <c r="B77" i="27"/>
  <c r="F76" i="27"/>
  <c r="E76" i="27"/>
  <c r="D76" i="27"/>
  <c r="B76" i="27"/>
  <c r="F75" i="27"/>
  <c r="E75" i="27"/>
  <c r="D75" i="27"/>
  <c r="B75" i="27"/>
  <c r="F74" i="27"/>
  <c r="E74" i="27"/>
  <c r="D74" i="27"/>
  <c r="B74" i="27"/>
  <c r="F73" i="27"/>
  <c r="E73" i="27"/>
  <c r="D73" i="27"/>
  <c r="B73" i="27"/>
  <c r="F72" i="27"/>
  <c r="E72" i="27"/>
  <c r="D72" i="27"/>
  <c r="B72" i="27"/>
  <c r="F71" i="27"/>
  <c r="E71" i="27"/>
  <c r="D71" i="27"/>
  <c r="B71" i="27"/>
  <c r="F70" i="27"/>
  <c r="E70" i="27"/>
  <c r="D70" i="27"/>
  <c r="B70" i="27"/>
  <c r="F69" i="27"/>
  <c r="E69" i="27"/>
  <c r="D69" i="27"/>
  <c r="B69" i="27"/>
  <c r="F68" i="27"/>
  <c r="E68" i="27"/>
  <c r="D68" i="27"/>
  <c r="B68" i="27"/>
  <c r="F67" i="27"/>
  <c r="E67" i="27"/>
  <c r="D67" i="27"/>
  <c r="B67" i="27"/>
  <c r="F66" i="27"/>
  <c r="E66" i="27"/>
  <c r="D66" i="27"/>
  <c r="B66" i="27"/>
  <c r="F65" i="27"/>
  <c r="E65" i="27"/>
  <c r="D65" i="27"/>
  <c r="B65" i="27"/>
  <c r="F64" i="27"/>
  <c r="E64" i="27"/>
  <c r="D64" i="27"/>
  <c r="B64" i="27"/>
  <c r="F63" i="27"/>
  <c r="E63" i="27"/>
  <c r="D63" i="27"/>
  <c r="B63" i="27"/>
  <c r="F62" i="27"/>
  <c r="E62" i="27"/>
  <c r="D62" i="27"/>
  <c r="B62" i="27"/>
  <c r="F61" i="27"/>
  <c r="E61" i="27"/>
  <c r="D61" i="27"/>
  <c r="B61" i="27"/>
  <c r="F60" i="27"/>
  <c r="E60" i="27"/>
  <c r="D60" i="27"/>
  <c r="B60" i="27"/>
  <c r="F59" i="27"/>
  <c r="E59" i="27"/>
  <c r="D59" i="27"/>
  <c r="B59" i="27"/>
  <c r="F58" i="27"/>
  <c r="E58" i="27"/>
  <c r="D58" i="27"/>
  <c r="B58" i="27"/>
  <c r="F57" i="27"/>
  <c r="E57" i="27"/>
  <c r="D57" i="27"/>
  <c r="B57" i="27"/>
  <c r="F56" i="27"/>
  <c r="E56" i="27"/>
  <c r="D56" i="27"/>
  <c r="B56" i="27"/>
  <c r="F55" i="27"/>
  <c r="E55" i="27"/>
  <c r="D55" i="27"/>
  <c r="B55" i="27"/>
  <c r="F54" i="27"/>
  <c r="E54" i="27"/>
  <c r="D54" i="27"/>
  <c r="B54" i="27"/>
  <c r="F53" i="27"/>
  <c r="E53" i="27"/>
  <c r="D53" i="27"/>
  <c r="B53" i="27"/>
  <c r="F46" i="27"/>
  <c r="E46" i="27"/>
  <c r="D46" i="27"/>
  <c r="B46" i="27"/>
  <c r="F45" i="27"/>
  <c r="E45" i="27"/>
  <c r="D45" i="27"/>
  <c r="B45" i="27"/>
  <c r="F44" i="27"/>
  <c r="E44" i="27"/>
  <c r="D44" i="27"/>
  <c r="B44" i="27"/>
  <c r="F43" i="27"/>
  <c r="E43" i="27"/>
  <c r="D43" i="27"/>
  <c r="B43" i="27"/>
  <c r="F42" i="27"/>
  <c r="E42" i="27"/>
  <c r="D42" i="27"/>
  <c r="B42" i="27"/>
  <c r="F41" i="27"/>
  <c r="E41" i="27"/>
  <c r="D41" i="27"/>
  <c r="B41" i="27"/>
  <c r="F40" i="27"/>
  <c r="E40" i="27"/>
  <c r="D40" i="27"/>
  <c r="B40" i="27"/>
  <c r="F39" i="27"/>
  <c r="E39" i="27"/>
  <c r="D39" i="27"/>
  <c r="B39" i="27"/>
  <c r="F38" i="27"/>
  <c r="E38" i="27"/>
  <c r="D38" i="27"/>
  <c r="B38" i="27"/>
  <c r="F37" i="27"/>
  <c r="E37" i="27"/>
  <c r="D37" i="27"/>
  <c r="B37" i="27"/>
  <c r="F36" i="27"/>
  <c r="E36" i="27"/>
  <c r="D36" i="27"/>
  <c r="B36" i="27"/>
  <c r="F35" i="27"/>
  <c r="E35" i="27"/>
  <c r="D35" i="27"/>
  <c r="B35" i="27"/>
  <c r="F34" i="27"/>
  <c r="E34" i="27"/>
  <c r="D34" i="27"/>
  <c r="B34" i="27"/>
  <c r="F33" i="27"/>
  <c r="E33" i="27"/>
  <c r="D33" i="27"/>
  <c r="B33" i="27"/>
  <c r="F32" i="27"/>
  <c r="E32" i="27"/>
  <c r="D32" i="27"/>
  <c r="B32" i="27"/>
  <c r="F31" i="27"/>
  <c r="E31" i="27"/>
  <c r="D31" i="27"/>
  <c r="B31" i="27"/>
  <c r="F30" i="27"/>
  <c r="E30" i="27"/>
  <c r="D30" i="27"/>
  <c r="B30" i="27"/>
  <c r="F29" i="27"/>
  <c r="E29" i="27"/>
  <c r="D29" i="27"/>
  <c r="B29" i="27"/>
  <c r="F28" i="27"/>
  <c r="E28" i="27"/>
  <c r="D28" i="27"/>
  <c r="B28" i="27"/>
  <c r="F27" i="27"/>
  <c r="E27" i="27"/>
  <c r="D27" i="27"/>
  <c r="B27" i="27"/>
  <c r="F26" i="27"/>
  <c r="E26" i="27"/>
  <c r="D26" i="27"/>
  <c r="B26" i="27"/>
  <c r="F25" i="27"/>
  <c r="E25" i="27"/>
  <c r="D25" i="27"/>
  <c r="B25" i="27"/>
  <c r="F24" i="27"/>
  <c r="E24" i="27"/>
  <c r="D24" i="27"/>
  <c r="B24" i="27"/>
  <c r="F23" i="27"/>
  <c r="E23" i="27"/>
  <c r="D23" i="27"/>
  <c r="B23" i="27"/>
  <c r="F22" i="27"/>
  <c r="E22" i="27"/>
  <c r="D22" i="27"/>
  <c r="B22" i="27"/>
  <c r="F21" i="27"/>
  <c r="E21" i="27"/>
  <c r="D21" i="27"/>
  <c r="B21" i="27"/>
  <c r="F20" i="27"/>
  <c r="E20" i="27"/>
  <c r="D20" i="27"/>
  <c r="B20" i="27"/>
  <c r="F19" i="27"/>
  <c r="E19" i="27"/>
  <c r="D19" i="27"/>
  <c r="B19" i="27"/>
  <c r="F18" i="27"/>
  <c r="E18" i="27"/>
  <c r="D18" i="27"/>
  <c r="B18" i="27"/>
  <c r="F17" i="27"/>
  <c r="E17" i="27"/>
  <c r="D17" i="27"/>
  <c r="B17" i="27"/>
  <c r="F82" i="26"/>
  <c r="E82" i="26"/>
  <c r="D82" i="26"/>
  <c r="B82" i="26"/>
  <c r="F81" i="26"/>
  <c r="E81" i="26"/>
  <c r="D81" i="26"/>
  <c r="B81" i="26"/>
  <c r="F80" i="26"/>
  <c r="E80" i="26"/>
  <c r="D80" i="26"/>
  <c r="B80" i="26"/>
  <c r="F79" i="26"/>
  <c r="E79" i="26"/>
  <c r="D79" i="26"/>
  <c r="B79" i="26"/>
  <c r="F78" i="26"/>
  <c r="E78" i="26"/>
  <c r="D78" i="26"/>
  <c r="B78" i="26"/>
  <c r="F77" i="26"/>
  <c r="E77" i="26"/>
  <c r="D77" i="26"/>
  <c r="B77" i="26"/>
  <c r="F76" i="26"/>
  <c r="E76" i="26"/>
  <c r="D76" i="26"/>
  <c r="B76" i="26"/>
  <c r="F75" i="26"/>
  <c r="E75" i="26"/>
  <c r="D75" i="26"/>
  <c r="B75" i="26"/>
  <c r="F74" i="26"/>
  <c r="E74" i="26"/>
  <c r="D74" i="26"/>
  <c r="B74" i="26"/>
  <c r="F73" i="26"/>
  <c r="E73" i="26"/>
  <c r="D73" i="26"/>
  <c r="B73" i="26"/>
  <c r="F72" i="26"/>
  <c r="E72" i="26"/>
  <c r="D72" i="26"/>
  <c r="B72" i="26"/>
  <c r="F71" i="26"/>
  <c r="E71" i="26"/>
  <c r="D71" i="26"/>
  <c r="B71" i="26"/>
  <c r="F70" i="26"/>
  <c r="E70" i="26"/>
  <c r="D70" i="26"/>
  <c r="B70" i="26"/>
  <c r="F69" i="26"/>
  <c r="E69" i="26"/>
  <c r="D69" i="26"/>
  <c r="B69" i="26"/>
  <c r="F68" i="26"/>
  <c r="E68" i="26"/>
  <c r="D68" i="26"/>
  <c r="B68" i="26"/>
  <c r="F67" i="26"/>
  <c r="E67" i="26"/>
  <c r="D67" i="26"/>
  <c r="B67" i="26"/>
  <c r="F66" i="26"/>
  <c r="E66" i="26"/>
  <c r="D66" i="26"/>
  <c r="B66" i="26"/>
  <c r="F65" i="26"/>
  <c r="E65" i="26"/>
  <c r="D65" i="26"/>
  <c r="B65" i="26"/>
  <c r="F64" i="26"/>
  <c r="E64" i="26"/>
  <c r="D64" i="26"/>
  <c r="B64" i="26"/>
  <c r="F63" i="26"/>
  <c r="E63" i="26"/>
  <c r="D63" i="26"/>
  <c r="B63" i="26"/>
  <c r="F62" i="26"/>
  <c r="E62" i="26"/>
  <c r="D62" i="26"/>
  <c r="B62" i="26"/>
  <c r="F61" i="26"/>
  <c r="E61" i="26"/>
  <c r="D61" i="26"/>
  <c r="B61" i="26"/>
  <c r="F60" i="26"/>
  <c r="E60" i="26"/>
  <c r="D60" i="26"/>
  <c r="B60" i="26"/>
  <c r="F59" i="26"/>
  <c r="E59" i="26"/>
  <c r="D59" i="26"/>
  <c r="B59" i="26"/>
  <c r="F58" i="26"/>
  <c r="E58" i="26"/>
  <c r="D58" i="26"/>
  <c r="B58" i="26"/>
  <c r="F57" i="26"/>
  <c r="E57" i="26"/>
  <c r="D57" i="26"/>
  <c r="B57" i="26"/>
  <c r="F56" i="26"/>
  <c r="E56" i="26"/>
  <c r="D56" i="26"/>
  <c r="B56" i="26"/>
  <c r="F55" i="26"/>
  <c r="E55" i="26"/>
  <c r="D55" i="26"/>
  <c r="B55" i="26"/>
  <c r="F54" i="26"/>
  <c r="E54" i="26"/>
  <c r="D54" i="26"/>
  <c r="B54" i="26"/>
  <c r="F53" i="26"/>
  <c r="E53" i="26"/>
  <c r="D53" i="26"/>
  <c r="B53" i="26"/>
  <c r="F52" i="26"/>
  <c r="E52" i="26"/>
  <c r="D52" i="26"/>
  <c r="B52" i="26"/>
  <c r="F46" i="26"/>
  <c r="E46" i="26"/>
  <c r="D46" i="26"/>
  <c r="B46" i="26"/>
  <c r="F45" i="26"/>
  <c r="E45" i="26"/>
  <c r="D45" i="26"/>
  <c r="B45" i="26"/>
  <c r="F44" i="26"/>
  <c r="E44" i="26"/>
  <c r="D44" i="26"/>
  <c r="B44" i="26"/>
  <c r="F43" i="26"/>
  <c r="E43" i="26"/>
  <c r="D43" i="26"/>
  <c r="B43" i="26"/>
  <c r="F42" i="26"/>
  <c r="E42" i="26"/>
  <c r="D42" i="26"/>
  <c r="B42" i="26"/>
  <c r="F41" i="26"/>
  <c r="E41" i="26"/>
  <c r="D41" i="26"/>
  <c r="B41" i="26"/>
  <c r="F40" i="26"/>
  <c r="E40" i="26"/>
  <c r="D40" i="26"/>
  <c r="B40" i="26"/>
  <c r="F39" i="26"/>
  <c r="E39" i="26"/>
  <c r="D39" i="26"/>
  <c r="B39" i="26"/>
  <c r="F38" i="26"/>
  <c r="E38" i="26"/>
  <c r="D38" i="26"/>
  <c r="B38" i="26"/>
  <c r="F37" i="26"/>
  <c r="E37" i="26"/>
  <c r="D37" i="26"/>
  <c r="B37" i="26"/>
  <c r="F36" i="26"/>
  <c r="E36" i="26"/>
  <c r="D36" i="26"/>
  <c r="B36" i="26"/>
  <c r="F35" i="26"/>
  <c r="E35" i="26"/>
  <c r="D35" i="26"/>
  <c r="B35" i="26"/>
  <c r="F34" i="26"/>
  <c r="E34" i="26"/>
  <c r="D34" i="26"/>
  <c r="B34" i="26"/>
  <c r="F33" i="26"/>
  <c r="E33" i="26"/>
  <c r="D33" i="26"/>
  <c r="B33" i="26"/>
  <c r="F32" i="26"/>
  <c r="E32" i="26"/>
  <c r="D32" i="26"/>
  <c r="B32" i="26"/>
  <c r="F31" i="26"/>
  <c r="E31" i="26"/>
  <c r="D31" i="26"/>
  <c r="B31" i="26"/>
  <c r="F30" i="26"/>
  <c r="E30" i="26"/>
  <c r="D30" i="26"/>
  <c r="B30" i="26"/>
  <c r="F29" i="26"/>
  <c r="E29" i="26"/>
  <c r="D29" i="26"/>
  <c r="B29" i="26"/>
  <c r="F28" i="26"/>
  <c r="E28" i="26"/>
  <c r="D28" i="26"/>
  <c r="B28" i="26"/>
  <c r="F27" i="26"/>
  <c r="E27" i="26"/>
  <c r="D27" i="26"/>
  <c r="B27" i="26"/>
  <c r="F26" i="26"/>
  <c r="E26" i="26"/>
  <c r="D26" i="26"/>
  <c r="B26" i="26"/>
  <c r="F25" i="26"/>
  <c r="E25" i="26"/>
  <c r="D25" i="26"/>
  <c r="B25" i="26"/>
  <c r="F24" i="26"/>
  <c r="E24" i="26"/>
  <c r="D24" i="26"/>
  <c r="B24" i="26"/>
  <c r="F23" i="26"/>
  <c r="E23" i="26"/>
  <c r="D23" i="26"/>
  <c r="B23" i="26"/>
  <c r="F22" i="26"/>
  <c r="E22" i="26"/>
  <c r="D22" i="26"/>
  <c r="B22" i="26"/>
  <c r="F21" i="26"/>
  <c r="E21" i="26"/>
  <c r="D21" i="26"/>
  <c r="B21" i="26"/>
  <c r="F20" i="26"/>
  <c r="E20" i="26"/>
  <c r="D20" i="26"/>
  <c r="B20" i="26"/>
  <c r="F19" i="26"/>
  <c r="E19" i="26"/>
  <c r="D19" i="26"/>
  <c r="B19" i="26"/>
  <c r="F18" i="26"/>
  <c r="E18" i="26"/>
  <c r="D18" i="26"/>
  <c r="B18" i="26"/>
  <c r="F17" i="26"/>
  <c r="E17" i="26"/>
  <c r="D17" i="26"/>
  <c r="B17" i="26"/>
  <c r="F82" i="25"/>
  <c r="E82" i="25"/>
  <c r="D82" i="25"/>
  <c r="B82" i="25"/>
  <c r="F81" i="25"/>
  <c r="E81" i="25"/>
  <c r="D81" i="25"/>
  <c r="B81" i="25"/>
  <c r="F80" i="25"/>
  <c r="E80" i="25"/>
  <c r="D80" i="25"/>
  <c r="B80" i="25"/>
  <c r="F79" i="25"/>
  <c r="E79" i="25"/>
  <c r="D79" i="25"/>
  <c r="B79" i="25"/>
  <c r="F78" i="25"/>
  <c r="E78" i="25"/>
  <c r="D78" i="25"/>
  <c r="B78" i="25"/>
  <c r="F77" i="25"/>
  <c r="E77" i="25"/>
  <c r="D77" i="25"/>
  <c r="B77" i="25"/>
  <c r="F76" i="25"/>
  <c r="E76" i="25"/>
  <c r="D76" i="25"/>
  <c r="B76" i="25"/>
  <c r="F75" i="25"/>
  <c r="E75" i="25"/>
  <c r="D75" i="25"/>
  <c r="B75" i="25"/>
  <c r="F74" i="25"/>
  <c r="E74" i="25"/>
  <c r="D74" i="25"/>
  <c r="B74" i="25"/>
  <c r="F73" i="25"/>
  <c r="E73" i="25"/>
  <c r="D73" i="25"/>
  <c r="B73" i="25"/>
  <c r="F72" i="25"/>
  <c r="E72" i="25"/>
  <c r="D72" i="25"/>
  <c r="B72" i="25"/>
  <c r="F71" i="25"/>
  <c r="E71" i="25"/>
  <c r="D71" i="25"/>
  <c r="B71" i="25"/>
  <c r="F70" i="25"/>
  <c r="E70" i="25"/>
  <c r="D70" i="25"/>
  <c r="B70" i="25"/>
  <c r="F69" i="25"/>
  <c r="E69" i="25"/>
  <c r="D69" i="25"/>
  <c r="B69" i="25"/>
  <c r="F68" i="25"/>
  <c r="E68" i="25"/>
  <c r="D68" i="25"/>
  <c r="B68" i="25"/>
  <c r="F67" i="25"/>
  <c r="E67" i="25"/>
  <c r="D67" i="25"/>
  <c r="B67" i="25"/>
  <c r="F66" i="25"/>
  <c r="E66" i="25"/>
  <c r="D66" i="25"/>
  <c r="B66" i="25"/>
  <c r="F65" i="25"/>
  <c r="E65" i="25"/>
  <c r="D65" i="25"/>
  <c r="B65" i="25"/>
  <c r="F64" i="25"/>
  <c r="E64" i="25"/>
  <c r="D64" i="25"/>
  <c r="B64" i="25"/>
  <c r="F63" i="25"/>
  <c r="E63" i="25"/>
  <c r="D63" i="25"/>
  <c r="B63" i="25"/>
  <c r="F62" i="25"/>
  <c r="E62" i="25"/>
  <c r="D62" i="25"/>
  <c r="B62" i="25"/>
  <c r="F61" i="25"/>
  <c r="E61" i="25"/>
  <c r="D61" i="25"/>
  <c r="B61" i="25"/>
  <c r="F60" i="25"/>
  <c r="E60" i="25"/>
  <c r="D60" i="25"/>
  <c r="B60" i="25"/>
  <c r="F59" i="25"/>
  <c r="E59" i="25"/>
  <c r="D59" i="25"/>
  <c r="B59" i="25"/>
  <c r="F58" i="25"/>
  <c r="E58" i="25"/>
  <c r="D58" i="25"/>
  <c r="B58" i="25"/>
  <c r="F57" i="25"/>
  <c r="E57" i="25"/>
  <c r="D57" i="25"/>
  <c r="B57" i="25"/>
  <c r="F56" i="25"/>
  <c r="E56" i="25"/>
  <c r="D56" i="25"/>
  <c r="B56" i="25"/>
  <c r="F55" i="25"/>
  <c r="E55" i="25"/>
  <c r="D55" i="25"/>
  <c r="B55" i="25"/>
  <c r="F54" i="25"/>
  <c r="E54" i="25"/>
  <c r="D54" i="25"/>
  <c r="B54" i="25"/>
  <c r="F53" i="25"/>
  <c r="E53" i="25"/>
  <c r="D53" i="25"/>
  <c r="B53" i="25"/>
  <c r="F46" i="25"/>
  <c r="E46" i="25"/>
  <c r="D46" i="25"/>
  <c r="B46" i="25"/>
  <c r="F45" i="25"/>
  <c r="E45" i="25"/>
  <c r="D45" i="25"/>
  <c r="B45" i="25"/>
  <c r="F44" i="25"/>
  <c r="E44" i="25"/>
  <c r="D44" i="25"/>
  <c r="B44" i="25"/>
  <c r="F43" i="25"/>
  <c r="E43" i="25"/>
  <c r="D43" i="25"/>
  <c r="B43" i="25"/>
  <c r="F42" i="25"/>
  <c r="E42" i="25"/>
  <c r="D42" i="25"/>
  <c r="B42" i="25"/>
  <c r="F41" i="25"/>
  <c r="E41" i="25"/>
  <c r="D41" i="25"/>
  <c r="B41" i="25"/>
  <c r="F40" i="25"/>
  <c r="E40" i="25"/>
  <c r="D40" i="25"/>
  <c r="B40" i="25"/>
  <c r="F39" i="25"/>
  <c r="E39" i="25"/>
  <c r="D39" i="25"/>
  <c r="B39" i="25"/>
  <c r="F38" i="25"/>
  <c r="E38" i="25"/>
  <c r="D38" i="25"/>
  <c r="B38" i="25"/>
  <c r="F37" i="25"/>
  <c r="E37" i="25"/>
  <c r="D37" i="25"/>
  <c r="B37" i="25"/>
  <c r="F36" i="25"/>
  <c r="E36" i="25"/>
  <c r="D36" i="25"/>
  <c r="B36" i="25"/>
  <c r="F35" i="25"/>
  <c r="E35" i="25"/>
  <c r="D35" i="25"/>
  <c r="B35" i="25"/>
  <c r="F34" i="25"/>
  <c r="E34" i="25"/>
  <c r="D34" i="25"/>
  <c r="B34" i="25"/>
  <c r="F33" i="25"/>
  <c r="E33" i="25"/>
  <c r="D33" i="25"/>
  <c r="B33" i="25"/>
  <c r="F32" i="25"/>
  <c r="E32" i="25"/>
  <c r="D32" i="25"/>
  <c r="B32" i="25"/>
  <c r="F31" i="25"/>
  <c r="E31" i="25"/>
  <c r="D31" i="25"/>
  <c r="B31" i="25"/>
  <c r="F30" i="25"/>
  <c r="E30" i="25"/>
  <c r="D30" i="25"/>
  <c r="B30" i="25"/>
  <c r="F29" i="25"/>
  <c r="E29" i="25"/>
  <c r="D29" i="25"/>
  <c r="B29" i="25"/>
  <c r="F28" i="25"/>
  <c r="E28" i="25"/>
  <c r="D28" i="25"/>
  <c r="B28" i="25"/>
  <c r="F27" i="25"/>
  <c r="E27" i="25"/>
  <c r="D27" i="25"/>
  <c r="B27" i="25"/>
  <c r="F26" i="25"/>
  <c r="E26" i="25"/>
  <c r="D26" i="25"/>
  <c r="B26" i="25"/>
  <c r="F25" i="25"/>
  <c r="E25" i="25"/>
  <c r="D25" i="25"/>
  <c r="B25" i="25"/>
  <c r="F24" i="25"/>
  <c r="E24" i="25"/>
  <c r="D24" i="25"/>
  <c r="B24" i="25"/>
  <c r="F23" i="25"/>
  <c r="E23" i="25"/>
  <c r="D23" i="25"/>
  <c r="B23" i="25"/>
  <c r="F22" i="25"/>
  <c r="E22" i="25"/>
  <c r="D22" i="25"/>
  <c r="B22" i="25"/>
  <c r="F21" i="25"/>
  <c r="E21" i="25"/>
  <c r="D21" i="25"/>
  <c r="B21" i="25"/>
  <c r="F20" i="25"/>
  <c r="E20" i="25"/>
  <c r="D20" i="25"/>
  <c r="B20" i="25"/>
  <c r="F19" i="25"/>
  <c r="E19" i="25"/>
  <c r="D19" i="25"/>
  <c r="B19" i="25"/>
  <c r="F18" i="25"/>
  <c r="E18" i="25"/>
  <c r="D18" i="25"/>
  <c r="B18" i="25"/>
  <c r="F17" i="25"/>
  <c r="E17" i="25"/>
  <c r="D17" i="25"/>
  <c r="B17" i="25"/>
  <c r="F82" i="24"/>
  <c r="E82" i="24"/>
  <c r="D82" i="24"/>
  <c r="B82" i="24"/>
  <c r="F81" i="24"/>
  <c r="E81" i="24"/>
  <c r="D81" i="24"/>
  <c r="B81" i="24"/>
  <c r="F80" i="24"/>
  <c r="E80" i="24"/>
  <c r="D80" i="24"/>
  <c r="B80" i="24"/>
  <c r="F79" i="24"/>
  <c r="E79" i="24"/>
  <c r="D79" i="24"/>
  <c r="B79" i="24"/>
  <c r="F78" i="24"/>
  <c r="E78" i="24"/>
  <c r="D78" i="24"/>
  <c r="B78" i="24"/>
  <c r="F77" i="24"/>
  <c r="E77" i="24"/>
  <c r="D77" i="24"/>
  <c r="B77" i="24"/>
  <c r="F76" i="24"/>
  <c r="E76" i="24"/>
  <c r="D76" i="24"/>
  <c r="B76" i="24"/>
  <c r="F75" i="24"/>
  <c r="E75" i="24"/>
  <c r="D75" i="24"/>
  <c r="B75" i="24"/>
  <c r="F74" i="24"/>
  <c r="E74" i="24"/>
  <c r="D74" i="24"/>
  <c r="B74" i="24"/>
  <c r="F73" i="24"/>
  <c r="E73" i="24"/>
  <c r="D73" i="24"/>
  <c r="B73" i="24"/>
  <c r="F72" i="24"/>
  <c r="E72" i="24"/>
  <c r="D72" i="24"/>
  <c r="B72" i="24"/>
  <c r="F71" i="24"/>
  <c r="E71" i="24"/>
  <c r="D71" i="24"/>
  <c r="B71" i="24"/>
  <c r="F70" i="24"/>
  <c r="E70" i="24"/>
  <c r="D70" i="24"/>
  <c r="B70" i="24"/>
  <c r="F69" i="24"/>
  <c r="E69" i="24"/>
  <c r="D69" i="24"/>
  <c r="B69" i="24"/>
  <c r="F68" i="24"/>
  <c r="E68" i="24"/>
  <c r="D68" i="24"/>
  <c r="B68" i="24"/>
  <c r="F67" i="24"/>
  <c r="E67" i="24"/>
  <c r="D67" i="24"/>
  <c r="B67" i="24"/>
  <c r="F66" i="24"/>
  <c r="E66" i="24"/>
  <c r="D66" i="24"/>
  <c r="B66" i="24"/>
  <c r="F65" i="24"/>
  <c r="E65" i="24"/>
  <c r="D65" i="24"/>
  <c r="B65" i="24"/>
  <c r="F64" i="24"/>
  <c r="E64" i="24"/>
  <c r="D64" i="24"/>
  <c r="B64" i="24"/>
  <c r="F63" i="24"/>
  <c r="E63" i="24"/>
  <c r="D63" i="24"/>
  <c r="B63" i="24"/>
  <c r="F62" i="24"/>
  <c r="E62" i="24"/>
  <c r="D62" i="24"/>
  <c r="B62" i="24"/>
  <c r="F61" i="24"/>
  <c r="E61" i="24"/>
  <c r="D61" i="24"/>
  <c r="B61" i="24"/>
  <c r="F60" i="24"/>
  <c r="E60" i="24"/>
  <c r="D60" i="24"/>
  <c r="B60" i="24"/>
  <c r="F59" i="24"/>
  <c r="E59" i="24"/>
  <c r="D59" i="24"/>
  <c r="B59" i="24"/>
  <c r="F58" i="24"/>
  <c r="E58" i="24"/>
  <c r="D58" i="24"/>
  <c r="B58" i="24"/>
  <c r="F57" i="24"/>
  <c r="E57" i="24"/>
  <c r="D57" i="24"/>
  <c r="B57" i="24"/>
  <c r="F56" i="24"/>
  <c r="E56" i="24"/>
  <c r="D56" i="24"/>
  <c r="B56" i="24"/>
  <c r="F55" i="24"/>
  <c r="E55" i="24"/>
  <c r="D55" i="24"/>
  <c r="B55" i="24"/>
  <c r="F54" i="24"/>
  <c r="E54" i="24"/>
  <c r="D54" i="24"/>
  <c r="B54" i="24"/>
  <c r="F53" i="24"/>
  <c r="E53" i="24"/>
  <c r="D53" i="24"/>
  <c r="B53" i="24"/>
  <c r="F46" i="24"/>
  <c r="E46" i="24"/>
  <c r="D46" i="24"/>
  <c r="B46" i="24"/>
  <c r="F45" i="24"/>
  <c r="E45" i="24"/>
  <c r="D45" i="24"/>
  <c r="B45" i="24"/>
  <c r="F44" i="24"/>
  <c r="E44" i="24"/>
  <c r="D44" i="24"/>
  <c r="B44" i="24"/>
  <c r="F43" i="24"/>
  <c r="E43" i="24"/>
  <c r="D43" i="24"/>
  <c r="B43" i="24"/>
  <c r="F42" i="24"/>
  <c r="E42" i="24"/>
  <c r="D42" i="24"/>
  <c r="B42" i="24"/>
  <c r="F41" i="24"/>
  <c r="E41" i="24"/>
  <c r="D41" i="24"/>
  <c r="B41" i="24"/>
  <c r="F40" i="24"/>
  <c r="E40" i="24"/>
  <c r="D40" i="24"/>
  <c r="B40" i="24"/>
  <c r="F39" i="24"/>
  <c r="E39" i="24"/>
  <c r="D39" i="24"/>
  <c r="B39" i="24"/>
  <c r="F38" i="24"/>
  <c r="E38" i="24"/>
  <c r="D38" i="24"/>
  <c r="B38" i="24"/>
  <c r="F37" i="24"/>
  <c r="E37" i="24"/>
  <c r="D37" i="24"/>
  <c r="B37" i="24"/>
  <c r="F36" i="24"/>
  <c r="E36" i="24"/>
  <c r="D36" i="24"/>
  <c r="B36" i="24"/>
  <c r="F35" i="24"/>
  <c r="E35" i="24"/>
  <c r="D35" i="24"/>
  <c r="B35" i="24"/>
  <c r="F34" i="24"/>
  <c r="E34" i="24"/>
  <c r="D34" i="24"/>
  <c r="B34" i="24"/>
  <c r="F33" i="24"/>
  <c r="E33" i="24"/>
  <c r="D33" i="24"/>
  <c r="B33" i="24"/>
  <c r="F32" i="24"/>
  <c r="E32" i="24"/>
  <c r="D32" i="24"/>
  <c r="B32" i="24"/>
  <c r="F31" i="24"/>
  <c r="E31" i="24"/>
  <c r="D31" i="24"/>
  <c r="B31" i="24"/>
  <c r="F30" i="24"/>
  <c r="E30" i="24"/>
  <c r="D30" i="24"/>
  <c r="B30" i="24"/>
  <c r="F29" i="24"/>
  <c r="E29" i="24"/>
  <c r="D29" i="24"/>
  <c r="B29" i="24"/>
  <c r="F28" i="24"/>
  <c r="E28" i="24"/>
  <c r="D28" i="24"/>
  <c r="B28" i="24"/>
  <c r="F27" i="24"/>
  <c r="E27" i="24"/>
  <c r="D27" i="24"/>
  <c r="B27" i="24"/>
  <c r="F26" i="24"/>
  <c r="E26" i="24"/>
  <c r="D26" i="24"/>
  <c r="B26" i="24"/>
  <c r="F25" i="24"/>
  <c r="E25" i="24"/>
  <c r="D25" i="24"/>
  <c r="B25" i="24"/>
  <c r="F24" i="24"/>
  <c r="E24" i="24"/>
  <c r="D24" i="24"/>
  <c r="B24" i="24"/>
  <c r="F23" i="24"/>
  <c r="E23" i="24"/>
  <c r="D23" i="24"/>
  <c r="B23" i="24"/>
  <c r="F22" i="24"/>
  <c r="E22" i="24"/>
  <c r="D22" i="24"/>
  <c r="B22" i="24"/>
  <c r="F21" i="24"/>
  <c r="E21" i="24"/>
  <c r="D21" i="24"/>
  <c r="B21" i="24"/>
  <c r="F20" i="24"/>
  <c r="E20" i="24"/>
  <c r="D20" i="24"/>
  <c r="B20" i="24"/>
  <c r="F19" i="24"/>
  <c r="E19" i="24"/>
  <c r="D19" i="24"/>
  <c r="B19" i="24"/>
  <c r="F18" i="24"/>
  <c r="E18" i="24"/>
  <c r="D18" i="24"/>
  <c r="B18" i="24"/>
  <c r="F17" i="24"/>
  <c r="E17" i="24"/>
  <c r="D17" i="24"/>
  <c r="B17" i="24"/>
  <c r="F82" i="23"/>
  <c r="E82" i="23"/>
  <c r="D82" i="23"/>
  <c r="B82" i="23"/>
  <c r="F81" i="23"/>
  <c r="E81" i="23"/>
  <c r="D81" i="23"/>
  <c r="B81" i="23"/>
  <c r="F80" i="23"/>
  <c r="E80" i="23"/>
  <c r="D80" i="23"/>
  <c r="B80" i="23"/>
  <c r="F79" i="23"/>
  <c r="E79" i="23"/>
  <c r="D79" i="23"/>
  <c r="B79" i="23"/>
  <c r="F78" i="23"/>
  <c r="E78" i="23"/>
  <c r="D78" i="23"/>
  <c r="B78" i="23"/>
  <c r="F77" i="23"/>
  <c r="E77" i="23"/>
  <c r="D77" i="23"/>
  <c r="B77" i="23"/>
  <c r="F76" i="23"/>
  <c r="E76" i="23"/>
  <c r="D76" i="23"/>
  <c r="B76" i="23"/>
  <c r="F75" i="23"/>
  <c r="E75" i="23"/>
  <c r="D75" i="23"/>
  <c r="B75" i="23"/>
  <c r="F74" i="23"/>
  <c r="E74" i="23"/>
  <c r="D74" i="23"/>
  <c r="B74" i="23"/>
  <c r="F73" i="23"/>
  <c r="E73" i="23"/>
  <c r="D73" i="23"/>
  <c r="B73" i="23"/>
  <c r="F72" i="23"/>
  <c r="E72" i="23"/>
  <c r="D72" i="23"/>
  <c r="B72" i="23"/>
  <c r="F71" i="23"/>
  <c r="E71" i="23"/>
  <c r="D71" i="23"/>
  <c r="B71" i="23"/>
  <c r="F70" i="23"/>
  <c r="E70" i="23"/>
  <c r="D70" i="23"/>
  <c r="B70" i="23"/>
  <c r="F69" i="23"/>
  <c r="E69" i="23"/>
  <c r="D69" i="23"/>
  <c r="B69" i="23"/>
  <c r="F68" i="23"/>
  <c r="E68" i="23"/>
  <c r="D68" i="23"/>
  <c r="B68" i="23"/>
  <c r="F67" i="23"/>
  <c r="E67" i="23"/>
  <c r="D67" i="23"/>
  <c r="B67" i="23"/>
  <c r="F66" i="23"/>
  <c r="E66" i="23"/>
  <c r="D66" i="23"/>
  <c r="B66" i="23"/>
  <c r="F65" i="23"/>
  <c r="E65" i="23"/>
  <c r="D65" i="23"/>
  <c r="B65" i="23"/>
  <c r="F64" i="23"/>
  <c r="E64" i="23"/>
  <c r="D64" i="23"/>
  <c r="B64" i="23"/>
  <c r="F63" i="23"/>
  <c r="E63" i="23"/>
  <c r="D63" i="23"/>
  <c r="B63" i="23"/>
  <c r="F62" i="23"/>
  <c r="E62" i="23"/>
  <c r="D62" i="23"/>
  <c r="B62" i="23"/>
  <c r="F61" i="23"/>
  <c r="E61" i="23"/>
  <c r="D61" i="23"/>
  <c r="B61" i="23"/>
  <c r="F60" i="23"/>
  <c r="E60" i="23"/>
  <c r="D60" i="23"/>
  <c r="B60" i="23"/>
  <c r="F59" i="23"/>
  <c r="E59" i="23"/>
  <c r="D59" i="23"/>
  <c r="B59" i="23"/>
  <c r="F58" i="23"/>
  <c r="E58" i="23"/>
  <c r="D58" i="23"/>
  <c r="B58" i="23"/>
  <c r="F57" i="23"/>
  <c r="E57" i="23"/>
  <c r="D57" i="23"/>
  <c r="B57" i="23"/>
  <c r="F56" i="23"/>
  <c r="E56" i="23"/>
  <c r="D56" i="23"/>
  <c r="B56" i="23"/>
  <c r="F55" i="23"/>
  <c r="E55" i="23"/>
  <c r="D55" i="23"/>
  <c r="B55" i="23"/>
  <c r="F54" i="23"/>
  <c r="E54" i="23"/>
  <c r="D54" i="23"/>
  <c r="B54" i="23"/>
  <c r="F53" i="23"/>
  <c r="E53" i="23"/>
  <c r="D53" i="23"/>
  <c r="B53" i="23"/>
  <c r="F46" i="23"/>
  <c r="E46" i="23"/>
  <c r="D46" i="23"/>
  <c r="B46" i="23"/>
  <c r="F45" i="23"/>
  <c r="E45" i="23"/>
  <c r="D45" i="23"/>
  <c r="B45" i="23"/>
  <c r="F44" i="23"/>
  <c r="E44" i="23"/>
  <c r="D44" i="23"/>
  <c r="B44" i="23"/>
  <c r="F43" i="23"/>
  <c r="E43" i="23"/>
  <c r="D43" i="23"/>
  <c r="B43" i="23"/>
  <c r="F42" i="23"/>
  <c r="E42" i="23"/>
  <c r="D42" i="23"/>
  <c r="B42" i="23"/>
  <c r="F41" i="23"/>
  <c r="E41" i="23"/>
  <c r="D41" i="23"/>
  <c r="B41" i="23"/>
  <c r="F40" i="23"/>
  <c r="E40" i="23"/>
  <c r="D40" i="23"/>
  <c r="B40" i="23"/>
  <c r="F39" i="23"/>
  <c r="E39" i="23"/>
  <c r="D39" i="23"/>
  <c r="B39" i="23"/>
  <c r="F38" i="23"/>
  <c r="E38" i="23"/>
  <c r="D38" i="23"/>
  <c r="B38" i="23"/>
  <c r="F37" i="23"/>
  <c r="E37" i="23"/>
  <c r="D37" i="23"/>
  <c r="B37" i="23"/>
  <c r="F36" i="23"/>
  <c r="E36" i="23"/>
  <c r="D36" i="23"/>
  <c r="B36" i="23"/>
  <c r="F35" i="23"/>
  <c r="E35" i="23"/>
  <c r="D35" i="23"/>
  <c r="B35" i="23"/>
  <c r="F34" i="23"/>
  <c r="E34" i="23"/>
  <c r="D34" i="23"/>
  <c r="B34" i="23"/>
  <c r="F33" i="23"/>
  <c r="E33" i="23"/>
  <c r="D33" i="23"/>
  <c r="B33" i="23"/>
  <c r="F32" i="23"/>
  <c r="E32" i="23"/>
  <c r="D32" i="23"/>
  <c r="B32" i="23"/>
  <c r="F31" i="23"/>
  <c r="E31" i="23"/>
  <c r="D31" i="23"/>
  <c r="B31" i="23"/>
  <c r="F30" i="23"/>
  <c r="E30" i="23"/>
  <c r="D30" i="23"/>
  <c r="B30" i="23"/>
  <c r="F29" i="23"/>
  <c r="E29" i="23"/>
  <c r="D29" i="23"/>
  <c r="B29" i="23"/>
  <c r="F28" i="23"/>
  <c r="E28" i="23"/>
  <c r="D28" i="23"/>
  <c r="B28" i="23"/>
  <c r="F27" i="23"/>
  <c r="E27" i="23"/>
  <c r="D27" i="23"/>
  <c r="B27" i="23"/>
  <c r="F26" i="23"/>
  <c r="E26" i="23"/>
  <c r="D26" i="23"/>
  <c r="B26" i="23"/>
  <c r="F25" i="23"/>
  <c r="E25" i="23"/>
  <c r="D25" i="23"/>
  <c r="B25" i="23"/>
  <c r="F24" i="23"/>
  <c r="E24" i="23"/>
  <c r="D24" i="23"/>
  <c r="B24" i="23"/>
  <c r="F23" i="23"/>
  <c r="E23" i="23"/>
  <c r="D23" i="23"/>
  <c r="B23" i="23"/>
  <c r="F22" i="23"/>
  <c r="E22" i="23"/>
  <c r="D22" i="23"/>
  <c r="B22" i="23"/>
  <c r="F21" i="23"/>
  <c r="E21" i="23"/>
  <c r="D21" i="23"/>
  <c r="B21" i="23"/>
  <c r="F20" i="23"/>
  <c r="E20" i="23"/>
  <c r="D20" i="23"/>
  <c r="B20" i="23"/>
  <c r="F19" i="23"/>
  <c r="E19" i="23"/>
  <c r="D19" i="23"/>
  <c r="B19" i="23"/>
  <c r="F18" i="23"/>
  <c r="E18" i="23"/>
  <c r="D18" i="23"/>
  <c r="B18" i="23"/>
  <c r="F17" i="23"/>
  <c r="E17" i="23"/>
  <c r="D17" i="23"/>
  <c r="B17" i="23"/>
  <c r="F82" i="22"/>
  <c r="E82" i="22"/>
  <c r="D82" i="22"/>
  <c r="B82" i="22"/>
  <c r="F81" i="22"/>
  <c r="E81" i="22"/>
  <c r="D81" i="22"/>
  <c r="B81" i="22"/>
  <c r="F80" i="22"/>
  <c r="E80" i="22"/>
  <c r="D80" i="22"/>
  <c r="B80" i="22"/>
  <c r="F79" i="22"/>
  <c r="E79" i="22"/>
  <c r="D79" i="22"/>
  <c r="B79" i="22"/>
  <c r="F78" i="22"/>
  <c r="E78" i="22"/>
  <c r="D78" i="22"/>
  <c r="B78" i="22"/>
  <c r="F77" i="22"/>
  <c r="E77" i="22"/>
  <c r="D77" i="22"/>
  <c r="B77" i="22"/>
  <c r="F76" i="22"/>
  <c r="E76" i="22"/>
  <c r="D76" i="22"/>
  <c r="B76" i="22"/>
  <c r="F75" i="22"/>
  <c r="E75" i="22"/>
  <c r="D75" i="22"/>
  <c r="B75" i="22"/>
  <c r="F74" i="22"/>
  <c r="E74" i="22"/>
  <c r="D74" i="22"/>
  <c r="B74" i="22"/>
  <c r="F73" i="22"/>
  <c r="E73" i="22"/>
  <c r="D73" i="22"/>
  <c r="B73" i="22"/>
  <c r="F72" i="22"/>
  <c r="E72" i="22"/>
  <c r="D72" i="22"/>
  <c r="B72" i="22"/>
  <c r="F71" i="22"/>
  <c r="E71" i="22"/>
  <c r="D71" i="22"/>
  <c r="B71" i="22"/>
  <c r="F70" i="22"/>
  <c r="E70" i="22"/>
  <c r="D70" i="22"/>
  <c r="B70" i="22"/>
  <c r="F69" i="22"/>
  <c r="E69" i="22"/>
  <c r="D69" i="22"/>
  <c r="B69" i="22"/>
  <c r="F68" i="22"/>
  <c r="E68" i="22"/>
  <c r="D68" i="22"/>
  <c r="B68" i="22"/>
  <c r="F67" i="22"/>
  <c r="E67" i="22"/>
  <c r="D67" i="22"/>
  <c r="B67" i="22"/>
  <c r="F66" i="22"/>
  <c r="E66" i="22"/>
  <c r="D66" i="22"/>
  <c r="B66" i="22"/>
  <c r="F65" i="22"/>
  <c r="E65" i="22"/>
  <c r="D65" i="22"/>
  <c r="B65" i="22"/>
  <c r="F64" i="22"/>
  <c r="E64" i="22"/>
  <c r="D64" i="22"/>
  <c r="B64" i="22"/>
  <c r="F63" i="22"/>
  <c r="E63" i="22"/>
  <c r="D63" i="22"/>
  <c r="B63" i="22"/>
  <c r="F62" i="22"/>
  <c r="E62" i="22"/>
  <c r="D62" i="22"/>
  <c r="B62" i="22"/>
  <c r="F61" i="22"/>
  <c r="E61" i="22"/>
  <c r="D61" i="22"/>
  <c r="B61" i="22"/>
  <c r="F60" i="22"/>
  <c r="E60" i="22"/>
  <c r="D60" i="22"/>
  <c r="B60" i="22"/>
  <c r="F59" i="22"/>
  <c r="E59" i="22"/>
  <c r="D59" i="22"/>
  <c r="B59" i="22"/>
  <c r="F58" i="22"/>
  <c r="E58" i="22"/>
  <c r="D58" i="22"/>
  <c r="B58" i="22"/>
  <c r="F57" i="22"/>
  <c r="E57" i="22"/>
  <c r="D57" i="22"/>
  <c r="B57" i="22"/>
  <c r="F56" i="22"/>
  <c r="E56" i="22"/>
  <c r="D56" i="22"/>
  <c r="B56" i="22"/>
  <c r="F55" i="22"/>
  <c r="E55" i="22"/>
  <c r="D55" i="22"/>
  <c r="B55" i="22"/>
  <c r="F54" i="22"/>
  <c r="E54" i="22"/>
  <c r="D54" i="22"/>
  <c r="B54" i="22"/>
  <c r="F53" i="22"/>
  <c r="E53" i="22"/>
  <c r="D53" i="22"/>
  <c r="B53" i="22"/>
  <c r="F46" i="22"/>
  <c r="E46" i="22"/>
  <c r="D46" i="22"/>
  <c r="B46" i="22"/>
  <c r="F45" i="22"/>
  <c r="E45" i="22"/>
  <c r="D45" i="22"/>
  <c r="B45" i="22"/>
  <c r="F44" i="22"/>
  <c r="E44" i="22"/>
  <c r="D44" i="22"/>
  <c r="B44" i="22"/>
  <c r="F43" i="22"/>
  <c r="E43" i="22"/>
  <c r="D43" i="22"/>
  <c r="B43" i="22"/>
  <c r="F42" i="22"/>
  <c r="E42" i="22"/>
  <c r="D42" i="22"/>
  <c r="B42" i="22"/>
  <c r="F41" i="22"/>
  <c r="E41" i="22"/>
  <c r="D41" i="22"/>
  <c r="B41" i="22"/>
  <c r="F40" i="22"/>
  <c r="E40" i="22"/>
  <c r="D40" i="22"/>
  <c r="B40" i="22"/>
  <c r="F39" i="22"/>
  <c r="E39" i="22"/>
  <c r="D39" i="22"/>
  <c r="B39" i="22"/>
  <c r="F38" i="22"/>
  <c r="E38" i="22"/>
  <c r="D38" i="22"/>
  <c r="B38" i="22"/>
  <c r="F37" i="22"/>
  <c r="E37" i="22"/>
  <c r="D37" i="22"/>
  <c r="B37" i="22"/>
  <c r="F36" i="22"/>
  <c r="E36" i="22"/>
  <c r="D36" i="22"/>
  <c r="B36" i="22"/>
  <c r="F35" i="22"/>
  <c r="E35" i="22"/>
  <c r="D35" i="22"/>
  <c r="B35" i="22"/>
  <c r="F34" i="22"/>
  <c r="E34" i="22"/>
  <c r="D34" i="22"/>
  <c r="B34" i="22"/>
  <c r="F33" i="22"/>
  <c r="E33" i="22"/>
  <c r="D33" i="22"/>
  <c r="B33" i="22"/>
  <c r="F32" i="22"/>
  <c r="E32" i="22"/>
  <c r="D32" i="22"/>
  <c r="B32" i="22"/>
  <c r="F31" i="22"/>
  <c r="E31" i="22"/>
  <c r="D31" i="22"/>
  <c r="B31" i="22"/>
  <c r="F30" i="22"/>
  <c r="E30" i="22"/>
  <c r="D30" i="22"/>
  <c r="B30" i="22"/>
  <c r="F29" i="22"/>
  <c r="E29" i="22"/>
  <c r="D29" i="22"/>
  <c r="B29" i="22"/>
  <c r="F28" i="22"/>
  <c r="E28" i="22"/>
  <c r="D28" i="22"/>
  <c r="B28" i="22"/>
  <c r="F27" i="22"/>
  <c r="E27" i="22"/>
  <c r="D27" i="22"/>
  <c r="B27" i="22"/>
  <c r="F26" i="22"/>
  <c r="E26" i="22"/>
  <c r="D26" i="22"/>
  <c r="B26" i="22"/>
  <c r="F25" i="22"/>
  <c r="E25" i="22"/>
  <c r="D25" i="22"/>
  <c r="B25" i="22"/>
  <c r="F24" i="22"/>
  <c r="E24" i="22"/>
  <c r="D24" i="22"/>
  <c r="B24" i="22"/>
  <c r="F23" i="22"/>
  <c r="E23" i="22"/>
  <c r="D23" i="22"/>
  <c r="B23" i="22"/>
  <c r="F22" i="22"/>
  <c r="E22" i="22"/>
  <c r="D22" i="22"/>
  <c r="B22" i="22"/>
  <c r="F21" i="22"/>
  <c r="E21" i="22"/>
  <c r="D21" i="22"/>
  <c r="B21" i="22"/>
  <c r="F20" i="22"/>
  <c r="E20" i="22"/>
  <c r="D20" i="22"/>
  <c r="B20" i="22"/>
  <c r="F19" i="22"/>
  <c r="E19" i="22"/>
  <c r="D19" i="22"/>
  <c r="B19" i="22"/>
  <c r="F18" i="22"/>
  <c r="E18" i="22"/>
  <c r="D18" i="22"/>
  <c r="B18" i="22"/>
  <c r="F17" i="22"/>
  <c r="E17" i="22"/>
  <c r="D17" i="22"/>
  <c r="B17" i="22"/>
  <c r="F82" i="21"/>
  <c r="E82" i="21"/>
  <c r="D82" i="21"/>
  <c r="B82" i="21"/>
  <c r="F81" i="21"/>
  <c r="E81" i="21"/>
  <c r="D81" i="21"/>
  <c r="B81" i="21"/>
  <c r="F80" i="21"/>
  <c r="E80" i="21"/>
  <c r="D80" i="21"/>
  <c r="B80" i="21"/>
  <c r="F79" i="21"/>
  <c r="E79" i="21"/>
  <c r="D79" i="21"/>
  <c r="B79" i="21"/>
  <c r="F78" i="21"/>
  <c r="E78" i="21"/>
  <c r="D78" i="21"/>
  <c r="B78" i="21"/>
  <c r="F77" i="21"/>
  <c r="E77" i="21"/>
  <c r="D77" i="21"/>
  <c r="B77" i="21"/>
  <c r="F76" i="21"/>
  <c r="E76" i="21"/>
  <c r="D76" i="21"/>
  <c r="B76" i="21"/>
  <c r="F75" i="21"/>
  <c r="E75" i="21"/>
  <c r="D75" i="21"/>
  <c r="B75" i="21"/>
  <c r="F74" i="21"/>
  <c r="E74" i="21"/>
  <c r="D74" i="21"/>
  <c r="B74" i="21"/>
  <c r="F73" i="21"/>
  <c r="E73" i="21"/>
  <c r="D73" i="21"/>
  <c r="B73" i="21"/>
  <c r="F72" i="21"/>
  <c r="E72" i="21"/>
  <c r="D72" i="21"/>
  <c r="B72" i="21"/>
  <c r="F71" i="21"/>
  <c r="E71" i="21"/>
  <c r="D71" i="21"/>
  <c r="B71" i="21"/>
  <c r="F70" i="21"/>
  <c r="E70" i="21"/>
  <c r="D70" i="21"/>
  <c r="B70" i="21"/>
  <c r="F69" i="21"/>
  <c r="E69" i="21"/>
  <c r="D69" i="21"/>
  <c r="B69" i="21"/>
  <c r="F68" i="21"/>
  <c r="E68" i="21"/>
  <c r="D68" i="21"/>
  <c r="B68" i="21"/>
  <c r="F67" i="21"/>
  <c r="E67" i="21"/>
  <c r="D67" i="21"/>
  <c r="B67" i="21"/>
  <c r="F66" i="21"/>
  <c r="E66" i="21"/>
  <c r="D66" i="21"/>
  <c r="B66" i="21"/>
  <c r="F65" i="21"/>
  <c r="E65" i="21"/>
  <c r="D65" i="21"/>
  <c r="B65" i="21"/>
  <c r="F64" i="21"/>
  <c r="E64" i="21"/>
  <c r="D64" i="21"/>
  <c r="B64" i="21"/>
  <c r="F63" i="21"/>
  <c r="E63" i="21"/>
  <c r="D63" i="21"/>
  <c r="B63" i="21"/>
  <c r="F62" i="21"/>
  <c r="E62" i="21"/>
  <c r="D62" i="21"/>
  <c r="B62" i="21"/>
  <c r="F61" i="21"/>
  <c r="E61" i="21"/>
  <c r="D61" i="21"/>
  <c r="B61" i="21"/>
  <c r="F60" i="21"/>
  <c r="E60" i="21"/>
  <c r="D60" i="21"/>
  <c r="B60" i="21"/>
  <c r="F59" i="21"/>
  <c r="E59" i="21"/>
  <c r="D59" i="21"/>
  <c r="B59" i="21"/>
  <c r="F58" i="21"/>
  <c r="E58" i="21"/>
  <c r="D58" i="21"/>
  <c r="B58" i="21"/>
  <c r="F57" i="21"/>
  <c r="E57" i="21"/>
  <c r="D57" i="21"/>
  <c r="B57" i="21"/>
  <c r="F56" i="21"/>
  <c r="E56" i="21"/>
  <c r="D56" i="21"/>
  <c r="B56" i="21"/>
  <c r="F55" i="21"/>
  <c r="E55" i="21"/>
  <c r="D55" i="21"/>
  <c r="B55" i="21"/>
  <c r="F54" i="21"/>
  <c r="E54" i="21"/>
  <c r="D54" i="21"/>
  <c r="B54" i="21"/>
  <c r="F53" i="21"/>
  <c r="E53" i="21"/>
  <c r="D53" i="21"/>
  <c r="B53" i="21"/>
  <c r="F46" i="21"/>
  <c r="E46" i="21"/>
  <c r="D46" i="21"/>
  <c r="B46" i="21"/>
  <c r="F45" i="21"/>
  <c r="E45" i="21"/>
  <c r="D45" i="21"/>
  <c r="B45" i="21"/>
  <c r="F44" i="21"/>
  <c r="E44" i="21"/>
  <c r="D44" i="21"/>
  <c r="B44" i="21"/>
  <c r="F43" i="21"/>
  <c r="E43" i="21"/>
  <c r="D43" i="21"/>
  <c r="B43" i="21"/>
  <c r="F42" i="21"/>
  <c r="E42" i="21"/>
  <c r="D42" i="21"/>
  <c r="B42" i="21"/>
  <c r="F41" i="21"/>
  <c r="E41" i="21"/>
  <c r="D41" i="21"/>
  <c r="B41" i="21"/>
  <c r="F40" i="21"/>
  <c r="E40" i="21"/>
  <c r="D40" i="21"/>
  <c r="B40" i="21"/>
  <c r="F39" i="21"/>
  <c r="E39" i="21"/>
  <c r="D39" i="21"/>
  <c r="B39" i="21"/>
  <c r="F38" i="21"/>
  <c r="E38" i="21"/>
  <c r="D38" i="21"/>
  <c r="B38" i="21"/>
  <c r="F37" i="21"/>
  <c r="E37" i="21"/>
  <c r="D37" i="21"/>
  <c r="B37" i="21"/>
  <c r="F36" i="21"/>
  <c r="E36" i="21"/>
  <c r="D36" i="21"/>
  <c r="B36" i="21"/>
  <c r="F35" i="21"/>
  <c r="E35" i="21"/>
  <c r="D35" i="21"/>
  <c r="B35" i="21"/>
  <c r="F34" i="21"/>
  <c r="E34" i="21"/>
  <c r="D34" i="21"/>
  <c r="B34" i="21"/>
  <c r="F33" i="21"/>
  <c r="E33" i="21"/>
  <c r="D33" i="21"/>
  <c r="B33" i="21"/>
  <c r="F32" i="21"/>
  <c r="E32" i="21"/>
  <c r="D32" i="21"/>
  <c r="B32" i="21"/>
  <c r="F31" i="21"/>
  <c r="E31" i="21"/>
  <c r="D31" i="21"/>
  <c r="B31" i="21"/>
  <c r="F30" i="21"/>
  <c r="E30" i="21"/>
  <c r="D30" i="21"/>
  <c r="B30" i="21"/>
  <c r="F29" i="21"/>
  <c r="E29" i="21"/>
  <c r="D29" i="21"/>
  <c r="B29" i="21"/>
  <c r="F28" i="21"/>
  <c r="E28" i="21"/>
  <c r="D28" i="21"/>
  <c r="B28" i="21"/>
  <c r="F27" i="21"/>
  <c r="E27" i="21"/>
  <c r="D27" i="21"/>
  <c r="B27" i="21"/>
  <c r="F26" i="21"/>
  <c r="E26" i="21"/>
  <c r="D26" i="21"/>
  <c r="B26" i="21"/>
  <c r="F25" i="21"/>
  <c r="E25" i="21"/>
  <c r="D25" i="21"/>
  <c r="B25" i="21"/>
  <c r="F24" i="21"/>
  <c r="E24" i="21"/>
  <c r="D24" i="21"/>
  <c r="B24" i="21"/>
  <c r="F23" i="21"/>
  <c r="E23" i="21"/>
  <c r="D23" i="21"/>
  <c r="B23" i="21"/>
  <c r="F22" i="21"/>
  <c r="E22" i="21"/>
  <c r="D22" i="21"/>
  <c r="B22" i="21"/>
  <c r="F21" i="21"/>
  <c r="E21" i="21"/>
  <c r="D21" i="21"/>
  <c r="B21" i="21"/>
  <c r="F20" i="21"/>
  <c r="E20" i="21"/>
  <c r="D20" i="21"/>
  <c r="B20" i="21"/>
  <c r="F19" i="21"/>
  <c r="E19" i="21"/>
  <c r="D19" i="21"/>
  <c r="B19" i="21"/>
  <c r="F18" i="21"/>
  <c r="E18" i="21"/>
  <c r="D18" i="21"/>
  <c r="B18" i="21"/>
  <c r="F17" i="21"/>
  <c r="E17" i="21"/>
  <c r="D17" i="21"/>
  <c r="B17" i="21"/>
  <c r="F82" i="20"/>
  <c r="E82" i="20"/>
  <c r="D82" i="20"/>
  <c r="B82" i="20"/>
  <c r="F81" i="20"/>
  <c r="E81" i="20"/>
  <c r="D81" i="20"/>
  <c r="B81" i="20"/>
  <c r="F80" i="20"/>
  <c r="E80" i="20"/>
  <c r="D80" i="20"/>
  <c r="B80" i="20"/>
  <c r="F79" i="20"/>
  <c r="E79" i="20"/>
  <c r="D79" i="20"/>
  <c r="B79" i="20"/>
  <c r="F78" i="20"/>
  <c r="E78" i="20"/>
  <c r="D78" i="20"/>
  <c r="B78" i="20"/>
  <c r="F77" i="20"/>
  <c r="E77" i="20"/>
  <c r="D77" i="20"/>
  <c r="B77" i="20"/>
  <c r="F76" i="20"/>
  <c r="E76" i="20"/>
  <c r="D76" i="20"/>
  <c r="B76" i="20"/>
  <c r="F75" i="20"/>
  <c r="E75" i="20"/>
  <c r="D75" i="20"/>
  <c r="B75" i="20"/>
  <c r="F74" i="20"/>
  <c r="E74" i="20"/>
  <c r="D74" i="20"/>
  <c r="B74" i="20"/>
  <c r="F73" i="20"/>
  <c r="E73" i="20"/>
  <c r="D73" i="20"/>
  <c r="B73" i="20"/>
  <c r="F72" i="20"/>
  <c r="E72" i="20"/>
  <c r="D72" i="20"/>
  <c r="B72" i="20"/>
  <c r="F71" i="20"/>
  <c r="E71" i="20"/>
  <c r="D71" i="20"/>
  <c r="B71" i="20"/>
  <c r="F70" i="20"/>
  <c r="E70" i="20"/>
  <c r="D70" i="20"/>
  <c r="B70" i="20"/>
  <c r="F69" i="20"/>
  <c r="E69" i="20"/>
  <c r="D69" i="20"/>
  <c r="B69" i="20"/>
  <c r="F68" i="20"/>
  <c r="E68" i="20"/>
  <c r="D68" i="20"/>
  <c r="B68" i="20"/>
  <c r="F67" i="20"/>
  <c r="E67" i="20"/>
  <c r="D67" i="20"/>
  <c r="B67" i="20"/>
  <c r="F66" i="20"/>
  <c r="E66" i="20"/>
  <c r="D66" i="20"/>
  <c r="B66" i="20"/>
  <c r="F65" i="20"/>
  <c r="E65" i="20"/>
  <c r="D65" i="20"/>
  <c r="B65" i="20"/>
  <c r="F64" i="20"/>
  <c r="E64" i="20"/>
  <c r="D64" i="20"/>
  <c r="B64" i="20"/>
  <c r="F63" i="20"/>
  <c r="E63" i="20"/>
  <c r="D63" i="20"/>
  <c r="B63" i="20"/>
  <c r="F62" i="20"/>
  <c r="E62" i="20"/>
  <c r="D62" i="20"/>
  <c r="B62" i="20"/>
  <c r="F61" i="20"/>
  <c r="E61" i="20"/>
  <c r="D61" i="20"/>
  <c r="B61" i="20"/>
  <c r="F60" i="20"/>
  <c r="E60" i="20"/>
  <c r="D60" i="20"/>
  <c r="B60" i="20"/>
  <c r="F59" i="20"/>
  <c r="E59" i="20"/>
  <c r="D59" i="20"/>
  <c r="B59" i="20"/>
  <c r="F58" i="20"/>
  <c r="E58" i="20"/>
  <c r="D58" i="20"/>
  <c r="B58" i="20"/>
  <c r="F57" i="20"/>
  <c r="E57" i="20"/>
  <c r="D57" i="20"/>
  <c r="B57" i="20"/>
  <c r="F56" i="20"/>
  <c r="E56" i="20"/>
  <c r="D56" i="20"/>
  <c r="B56" i="20"/>
  <c r="F55" i="20"/>
  <c r="E55" i="20"/>
  <c r="D55" i="20"/>
  <c r="B55" i="20"/>
  <c r="F54" i="20"/>
  <c r="E54" i="20"/>
  <c r="D54" i="20"/>
  <c r="B54" i="20"/>
  <c r="F53" i="20"/>
  <c r="E53" i="20"/>
  <c r="D53" i="20"/>
  <c r="B53" i="20"/>
  <c r="F46" i="20"/>
  <c r="E46" i="20"/>
  <c r="D46" i="20"/>
  <c r="B46" i="20"/>
  <c r="F45" i="20"/>
  <c r="E45" i="20"/>
  <c r="D45" i="20"/>
  <c r="B45" i="20"/>
  <c r="F44" i="20"/>
  <c r="E44" i="20"/>
  <c r="D44" i="20"/>
  <c r="B44" i="20"/>
  <c r="F43" i="20"/>
  <c r="E43" i="20"/>
  <c r="D43" i="20"/>
  <c r="B43" i="20"/>
  <c r="F42" i="20"/>
  <c r="E42" i="20"/>
  <c r="D42" i="20"/>
  <c r="B42" i="20"/>
  <c r="F41" i="20"/>
  <c r="E41" i="20"/>
  <c r="D41" i="20"/>
  <c r="B41" i="20"/>
  <c r="F40" i="20"/>
  <c r="E40" i="20"/>
  <c r="D40" i="20"/>
  <c r="B40" i="20"/>
  <c r="F39" i="20"/>
  <c r="E39" i="20"/>
  <c r="D39" i="20"/>
  <c r="B39" i="20"/>
  <c r="F38" i="20"/>
  <c r="E38" i="20"/>
  <c r="D38" i="20"/>
  <c r="B38" i="20"/>
  <c r="F37" i="20"/>
  <c r="E37" i="20"/>
  <c r="D37" i="20"/>
  <c r="B37" i="20"/>
  <c r="F36" i="20"/>
  <c r="E36" i="20"/>
  <c r="D36" i="20"/>
  <c r="B36" i="20"/>
  <c r="F35" i="20"/>
  <c r="E35" i="20"/>
  <c r="D35" i="20"/>
  <c r="B35" i="20"/>
  <c r="F34" i="20"/>
  <c r="E34" i="20"/>
  <c r="D34" i="20"/>
  <c r="B34" i="20"/>
  <c r="F33" i="20"/>
  <c r="E33" i="20"/>
  <c r="D33" i="20"/>
  <c r="B33" i="20"/>
  <c r="F32" i="20"/>
  <c r="E32" i="20"/>
  <c r="D32" i="20"/>
  <c r="B32" i="20"/>
  <c r="F31" i="20"/>
  <c r="E31" i="20"/>
  <c r="D31" i="20"/>
  <c r="B31" i="20"/>
  <c r="F30" i="20"/>
  <c r="E30" i="20"/>
  <c r="D30" i="20"/>
  <c r="B30" i="20"/>
  <c r="F29" i="20"/>
  <c r="E29" i="20"/>
  <c r="D29" i="20"/>
  <c r="B29" i="20"/>
  <c r="F28" i="20"/>
  <c r="E28" i="20"/>
  <c r="D28" i="20"/>
  <c r="B28" i="20"/>
  <c r="F27" i="20"/>
  <c r="E27" i="20"/>
  <c r="D27" i="20"/>
  <c r="B27" i="20"/>
  <c r="F26" i="20"/>
  <c r="E26" i="20"/>
  <c r="D26" i="20"/>
  <c r="B26" i="20"/>
  <c r="F25" i="20"/>
  <c r="E25" i="20"/>
  <c r="D25" i="20"/>
  <c r="B25" i="20"/>
  <c r="F24" i="20"/>
  <c r="E24" i="20"/>
  <c r="D24" i="20"/>
  <c r="B24" i="20"/>
  <c r="F23" i="20"/>
  <c r="E23" i="20"/>
  <c r="D23" i="20"/>
  <c r="B23" i="20"/>
  <c r="F22" i="20"/>
  <c r="E22" i="20"/>
  <c r="D22" i="20"/>
  <c r="B22" i="20"/>
  <c r="F21" i="20"/>
  <c r="E21" i="20"/>
  <c r="D21" i="20"/>
  <c r="B21" i="20"/>
  <c r="F20" i="20"/>
  <c r="E20" i="20"/>
  <c r="D20" i="20"/>
  <c r="B20" i="20"/>
  <c r="F19" i="20"/>
  <c r="E19" i="20"/>
  <c r="D19" i="20"/>
  <c r="B19" i="20"/>
  <c r="F18" i="20"/>
  <c r="E18" i="20"/>
  <c r="D18" i="20"/>
  <c r="B18" i="20"/>
  <c r="F17" i="20"/>
  <c r="E17" i="20"/>
  <c r="D17" i="20"/>
  <c r="B17" i="20"/>
  <c r="F82" i="19"/>
  <c r="E82" i="19"/>
  <c r="D82" i="19"/>
  <c r="B82" i="19"/>
  <c r="F81" i="19"/>
  <c r="E81" i="19"/>
  <c r="D81" i="19"/>
  <c r="B81" i="19"/>
  <c r="F80" i="19"/>
  <c r="E80" i="19"/>
  <c r="D80" i="19"/>
  <c r="B80" i="19"/>
  <c r="F79" i="19"/>
  <c r="E79" i="19"/>
  <c r="D79" i="19"/>
  <c r="B79" i="19"/>
  <c r="F78" i="19"/>
  <c r="E78" i="19"/>
  <c r="D78" i="19"/>
  <c r="B78" i="19"/>
  <c r="F77" i="19"/>
  <c r="E77" i="19"/>
  <c r="D77" i="19"/>
  <c r="B77" i="19"/>
  <c r="F76" i="19"/>
  <c r="E76" i="19"/>
  <c r="D76" i="19"/>
  <c r="B76" i="19"/>
  <c r="F75" i="19"/>
  <c r="E75" i="19"/>
  <c r="D75" i="19"/>
  <c r="B75" i="19"/>
  <c r="F74" i="19"/>
  <c r="E74" i="19"/>
  <c r="D74" i="19"/>
  <c r="B74" i="19"/>
  <c r="F73" i="19"/>
  <c r="E73" i="19"/>
  <c r="D73" i="19"/>
  <c r="B73" i="19"/>
  <c r="F72" i="19"/>
  <c r="E72" i="19"/>
  <c r="D72" i="19"/>
  <c r="B72" i="19"/>
  <c r="F71" i="19"/>
  <c r="E71" i="19"/>
  <c r="D71" i="19"/>
  <c r="B71" i="19"/>
  <c r="F70" i="19"/>
  <c r="E70" i="19"/>
  <c r="D70" i="19"/>
  <c r="B70" i="19"/>
  <c r="F69" i="19"/>
  <c r="E69" i="19"/>
  <c r="D69" i="19"/>
  <c r="B69" i="19"/>
  <c r="F68" i="19"/>
  <c r="E68" i="19"/>
  <c r="D68" i="19"/>
  <c r="B68" i="19"/>
  <c r="F67" i="19"/>
  <c r="E67" i="19"/>
  <c r="D67" i="19"/>
  <c r="B67" i="19"/>
  <c r="F66" i="19"/>
  <c r="E66" i="19"/>
  <c r="D66" i="19"/>
  <c r="B66" i="19"/>
  <c r="F65" i="19"/>
  <c r="E65" i="19"/>
  <c r="D65" i="19"/>
  <c r="B65" i="19"/>
  <c r="F64" i="19"/>
  <c r="E64" i="19"/>
  <c r="D64" i="19"/>
  <c r="B64" i="19"/>
  <c r="F63" i="19"/>
  <c r="E63" i="19"/>
  <c r="D63" i="19"/>
  <c r="B63" i="19"/>
  <c r="F62" i="19"/>
  <c r="E62" i="19"/>
  <c r="D62" i="19"/>
  <c r="B62" i="19"/>
  <c r="F61" i="19"/>
  <c r="E61" i="19"/>
  <c r="D61" i="19"/>
  <c r="B61" i="19"/>
  <c r="F60" i="19"/>
  <c r="E60" i="19"/>
  <c r="D60" i="19"/>
  <c r="B60" i="19"/>
  <c r="F59" i="19"/>
  <c r="E59" i="19"/>
  <c r="D59" i="19"/>
  <c r="B59" i="19"/>
  <c r="F58" i="19"/>
  <c r="E58" i="19"/>
  <c r="D58" i="19"/>
  <c r="B58" i="19"/>
  <c r="F57" i="19"/>
  <c r="E57" i="19"/>
  <c r="D57" i="19"/>
  <c r="B57" i="19"/>
  <c r="F56" i="19"/>
  <c r="E56" i="19"/>
  <c r="D56" i="19"/>
  <c r="B56" i="19"/>
  <c r="F55" i="19"/>
  <c r="E55" i="19"/>
  <c r="D55" i="19"/>
  <c r="B55" i="19"/>
  <c r="F54" i="19"/>
  <c r="E54" i="19"/>
  <c r="D54" i="19"/>
  <c r="B54" i="19"/>
  <c r="F53" i="19"/>
  <c r="E53" i="19"/>
  <c r="D53" i="19"/>
  <c r="B53" i="19"/>
  <c r="F46" i="19"/>
  <c r="E46" i="19"/>
  <c r="D46" i="19"/>
  <c r="B46" i="19"/>
  <c r="F45" i="19"/>
  <c r="E45" i="19"/>
  <c r="D45" i="19"/>
  <c r="B45" i="19"/>
  <c r="F44" i="19"/>
  <c r="E44" i="19"/>
  <c r="D44" i="19"/>
  <c r="B44" i="19"/>
  <c r="F43" i="19"/>
  <c r="E43" i="19"/>
  <c r="D43" i="19"/>
  <c r="B43" i="19"/>
  <c r="F42" i="19"/>
  <c r="E42" i="19"/>
  <c r="D42" i="19"/>
  <c r="B42" i="19"/>
  <c r="F41" i="19"/>
  <c r="E41" i="19"/>
  <c r="D41" i="19"/>
  <c r="B41" i="19"/>
  <c r="F40" i="19"/>
  <c r="E40" i="19"/>
  <c r="D40" i="19"/>
  <c r="B40" i="19"/>
  <c r="F39" i="19"/>
  <c r="E39" i="19"/>
  <c r="D39" i="19"/>
  <c r="B39" i="19"/>
  <c r="F38" i="19"/>
  <c r="E38" i="19"/>
  <c r="D38" i="19"/>
  <c r="B38" i="19"/>
  <c r="F37" i="19"/>
  <c r="E37" i="19"/>
  <c r="D37" i="19"/>
  <c r="B37" i="19"/>
  <c r="F36" i="19"/>
  <c r="E36" i="19"/>
  <c r="D36" i="19"/>
  <c r="B36" i="19"/>
  <c r="F35" i="19"/>
  <c r="E35" i="19"/>
  <c r="D35" i="19"/>
  <c r="B35" i="19"/>
  <c r="F34" i="19"/>
  <c r="E34" i="19"/>
  <c r="D34" i="19"/>
  <c r="B34" i="19"/>
  <c r="F33" i="19"/>
  <c r="E33" i="19"/>
  <c r="D33" i="19"/>
  <c r="B33" i="19"/>
  <c r="F32" i="19"/>
  <c r="E32" i="19"/>
  <c r="D32" i="19"/>
  <c r="B32" i="19"/>
  <c r="F31" i="19"/>
  <c r="E31" i="19"/>
  <c r="D31" i="19"/>
  <c r="B31" i="19"/>
  <c r="F30" i="19"/>
  <c r="E30" i="19"/>
  <c r="D30" i="19"/>
  <c r="B30" i="19"/>
  <c r="F29" i="19"/>
  <c r="E29" i="19"/>
  <c r="D29" i="19"/>
  <c r="B29" i="19"/>
  <c r="F28" i="19"/>
  <c r="E28" i="19"/>
  <c r="D28" i="19"/>
  <c r="B28" i="19"/>
  <c r="F27" i="19"/>
  <c r="E27" i="19"/>
  <c r="D27" i="19"/>
  <c r="B27" i="19"/>
  <c r="F26" i="19"/>
  <c r="E26" i="19"/>
  <c r="D26" i="19"/>
  <c r="B26" i="19"/>
  <c r="F25" i="19"/>
  <c r="E25" i="19"/>
  <c r="D25" i="19"/>
  <c r="B25" i="19"/>
  <c r="F24" i="19"/>
  <c r="E24" i="19"/>
  <c r="D24" i="19"/>
  <c r="B24" i="19"/>
  <c r="F23" i="19"/>
  <c r="E23" i="19"/>
  <c r="D23" i="19"/>
  <c r="B23" i="19"/>
  <c r="F22" i="19"/>
  <c r="E22" i="19"/>
  <c r="D22" i="19"/>
  <c r="B22" i="19"/>
  <c r="F21" i="19"/>
  <c r="E21" i="19"/>
  <c r="D21" i="19"/>
  <c r="B21" i="19"/>
  <c r="F20" i="19"/>
  <c r="E20" i="19"/>
  <c r="D20" i="19"/>
  <c r="B20" i="19"/>
  <c r="F19" i="19"/>
  <c r="E19" i="19"/>
  <c r="D19" i="19"/>
  <c r="B19" i="19"/>
  <c r="F18" i="19"/>
  <c r="E18" i="19"/>
  <c r="D18" i="19"/>
  <c r="B18" i="19"/>
  <c r="F17" i="19"/>
  <c r="E17" i="19"/>
  <c r="D17" i="19"/>
  <c r="B17" i="19"/>
  <c r="F82" i="18"/>
  <c r="E82" i="18"/>
  <c r="D82" i="18"/>
  <c r="B82" i="18"/>
  <c r="F81" i="18"/>
  <c r="E81" i="18"/>
  <c r="D81" i="18"/>
  <c r="B81" i="18"/>
  <c r="F80" i="18"/>
  <c r="E80" i="18"/>
  <c r="D80" i="18"/>
  <c r="B80" i="18"/>
  <c r="F79" i="18"/>
  <c r="E79" i="18"/>
  <c r="D79" i="18"/>
  <c r="B79" i="18"/>
  <c r="F78" i="18"/>
  <c r="E78" i="18"/>
  <c r="D78" i="18"/>
  <c r="B78" i="18"/>
  <c r="F77" i="18"/>
  <c r="E77" i="18"/>
  <c r="D77" i="18"/>
  <c r="B77" i="18"/>
  <c r="F76" i="18"/>
  <c r="E76" i="18"/>
  <c r="D76" i="18"/>
  <c r="B76" i="18"/>
  <c r="F75" i="18"/>
  <c r="E75" i="18"/>
  <c r="D75" i="18"/>
  <c r="B75" i="18"/>
  <c r="F74" i="18"/>
  <c r="E74" i="18"/>
  <c r="D74" i="18"/>
  <c r="B74" i="18"/>
  <c r="F73" i="18"/>
  <c r="E73" i="18"/>
  <c r="D73" i="18"/>
  <c r="B73" i="18"/>
  <c r="F72" i="18"/>
  <c r="E72" i="18"/>
  <c r="D72" i="18"/>
  <c r="B72" i="18"/>
  <c r="F71" i="18"/>
  <c r="E71" i="18"/>
  <c r="D71" i="18"/>
  <c r="B71" i="18"/>
  <c r="F70" i="18"/>
  <c r="E70" i="18"/>
  <c r="D70" i="18"/>
  <c r="B70" i="18"/>
  <c r="F69" i="18"/>
  <c r="E69" i="18"/>
  <c r="D69" i="18"/>
  <c r="B69" i="18"/>
  <c r="F68" i="18"/>
  <c r="E68" i="18"/>
  <c r="D68" i="18"/>
  <c r="B68" i="18"/>
  <c r="F67" i="18"/>
  <c r="E67" i="18"/>
  <c r="D67" i="18"/>
  <c r="B67" i="18"/>
  <c r="F66" i="18"/>
  <c r="E66" i="18"/>
  <c r="D66" i="18"/>
  <c r="B66" i="18"/>
  <c r="F65" i="18"/>
  <c r="E65" i="18"/>
  <c r="D65" i="18"/>
  <c r="B65" i="18"/>
  <c r="F64" i="18"/>
  <c r="E64" i="18"/>
  <c r="D64" i="18"/>
  <c r="B64" i="18"/>
  <c r="F63" i="18"/>
  <c r="E63" i="18"/>
  <c r="D63" i="18"/>
  <c r="B63" i="18"/>
  <c r="F62" i="18"/>
  <c r="E62" i="18"/>
  <c r="D62" i="18"/>
  <c r="B62" i="18"/>
  <c r="F61" i="18"/>
  <c r="E61" i="18"/>
  <c r="D61" i="18"/>
  <c r="B61" i="18"/>
  <c r="F60" i="18"/>
  <c r="E60" i="18"/>
  <c r="D60" i="18"/>
  <c r="B60" i="18"/>
  <c r="F59" i="18"/>
  <c r="E59" i="18"/>
  <c r="D59" i="18"/>
  <c r="B59" i="18"/>
  <c r="F58" i="18"/>
  <c r="E58" i="18"/>
  <c r="D58" i="18"/>
  <c r="B58" i="18"/>
  <c r="F57" i="18"/>
  <c r="E57" i="18"/>
  <c r="D57" i="18"/>
  <c r="B57" i="18"/>
  <c r="F56" i="18"/>
  <c r="E56" i="18"/>
  <c r="D56" i="18"/>
  <c r="B56" i="18"/>
  <c r="F55" i="18"/>
  <c r="E55" i="18"/>
  <c r="D55" i="18"/>
  <c r="B55" i="18"/>
  <c r="F54" i="18"/>
  <c r="E54" i="18"/>
  <c r="D54" i="18"/>
  <c r="B54" i="18"/>
  <c r="F53" i="18"/>
  <c r="E53" i="18"/>
  <c r="D53" i="18"/>
  <c r="B53" i="18"/>
  <c r="F46" i="18"/>
  <c r="E46" i="18"/>
  <c r="D46" i="18"/>
  <c r="B46" i="18"/>
  <c r="F45" i="18"/>
  <c r="E45" i="18"/>
  <c r="D45" i="18"/>
  <c r="B45" i="18"/>
  <c r="F44" i="18"/>
  <c r="E44" i="18"/>
  <c r="D44" i="18"/>
  <c r="B44" i="18"/>
  <c r="F43" i="18"/>
  <c r="E43" i="18"/>
  <c r="D43" i="18"/>
  <c r="B43" i="18"/>
  <c r="F42" i="18"/>
  <c r="E42" i="18"/>
  <c r="D42" i="18"/>
  <c r="B42" i="18"/>
  <c r="F41" i="18"/>
  <c r="E41" i="18"/>
  <c r="D41" i="18"/>
  <c r="B41" i="18"/>
  <c r="F40" i="18"/>
  <c r="E40" i="18"/>
  <c r="D40" i="18"/>
  <c r="B40" i="18"/>
  <c r="F39" i="18"/>
  <c r="E39" i="18"/>
  <c r="D39" i="18"/>
  <c r="B39" i="18"/>
  <c r="F38" i="18"/>
  <c r="E38" i="18"/>
  <c r="D38" i="18"/>
  <c r="B38" i="18"/>
  <c r="F37" i="18"/>
  <c r="E37" i="18"/>
  <c r="D37" i="18"/>
  <c r="B37" i="18"/>
  <c r="F36" i="18"/>
  <c r="E36" i="18"/>
  <c r="D36" i="18"/>
  <c r="B36" i="18"/>
  <c r="F35" i="18"/>
  <c r="E35" i="18"/>
  <c r="D35" i="18"/>
  <c r="B35" i="18"/>
  <c r="F34" i="18"/>
  <c r="E34" i="18"/>
  <c r="D34" i="18"/>
  <c r="B34" i="18"/>
  <c r="F33" i="18"/>
  <c r="E33" i="18"/>
  <c r="D33" i="18"/>
  <c r="B33" i="18"/>
  <c r="F32" i="18"/>
  <c r="E32" i="18"/>
  <c r="D32" i="18"/>
  <c r="B32" i="18"/>
  <c r="F31" i="18"/>
  <c r="E31" i="18"/>
  <c r="D31" i="18"/>
  <c r="B31" i="18"/>
  <c r="F30" i="18"/>
  <c r="E30" i="18"/>
  <c r="D30" i="18"/>
  <c r="B30" i="18"/>
  <c r="F29" i="18"/>
  <c r="E29" i="18"/>
  <c r="D29" i="18"/>
  <c r="B29" i="18"/>
  <c r="F28" i="18"/>
  <c r="E28" i="18"/>
  <c r="D28" i="18"/>
  <c r="B28" i="18"/>
  <c r="F27" i="18"/>
  <c r="E27" i="18"/>
  <c r="D27" i="18"/>
  <c r="B27" i="18"/>
  <c r="F26" i="18"/>
  <c r="E26" i="18"/>
  <c r="D26" i="18"/>
  <c r="B26" i="18"/>
  <c r="F25" i="18"/>
  <c r="E25" i="18"/>
  <c r="D25" i="18"/>
  <c r="B25" i="18"/>
  <c r="F24" i="18"/>
  <c r="E24" i="18"/>
  <c r="D24" i="18"/>
  <c r="B24" i="18"/>
  <c r="F23" i="18"/>
  <c r="E23" i="18"/>
  <c r="D23" i="18"/>
  <c r="B23" i="18"/>
  <c r="F22" i="18"/>
  <c r="E22" i="18"/>
  <c r="D22" i="18"/>
  <c r="B22" i="18"/>
  <c r="F21" i="18"/>
  <c r="E21" i="18"/>
  <c r="D21" i="18"/>
  <c r="B21" i="18"/>
  <c r="F20" i="18"/>
  <c r="E20" i="18"/>
  <c r="D20" i="18"/>
  <c r="B20" i="18"/>
  <c r="F19" i="18"/>
  <c r="E19" i="18"/>
  <c r="D19" i="18"/>
  <c r="B19" i="18"/>
  <c r="F18" i="18"/>
  <c r="E18" i="18"/>
  <c r="D18" i="18"/>
  <c r="B18" i="18"/>
  <c r="F17" i="18"/>
  <c r="E17" i="18"/>
  <c r="D17" i="18"/>
  <c r="B17" i="18"/>
  <c r="F82" i="17"/>
  <c r="E82" i="17"/>
  <c r="D82" i="17"/>
  <c r="B82" i="17"/>
  <c r="F81" i="17"/>
  <c r="E81" i="17"/>
  <c r="D81" i="17"/>
  <c r="B81" i="17"/>
  <c r="F80" i="17"/>
  <c r="E80" i="17"/>
  <c r="D80" i="17"/>
  <c r="B80" i="17"/>
  <c r="F79" i="17"/>
  <c r="E79" i="17"/>
  <c r="D79" i="17"/>
  <c r="B79" i="17"/>
  <c r="F78" i="17"/>
  <c r="E78" i="17"/>
  <c r="D78" i="17"/>
  <c r="B78" i="17"/>
  <c r="F77" i="17"/>
  <c r="E77" i="17"/>
  <c r="D77" i="17"/>
  <c r="B77" i="17"/>
  <c r="F76" i="17"/>
  <c r="E76" i="17"/>
  <c r="D76" i="17"/>
  <c r="B76" i="17"/>
  <c r="F75" i="17"/>
  <c r="E75" i="17"/>
  <c r="D75" i="17"/>
  <c r="B75" i="17"/>
  <c r="F74" i="17"/>
  <c r="E74" i="17"/>
  <c r="D74" i="17"/>
  <c r="B74" i="17"/>
  <c r="F73" i="17"/>
  <c r="E73" i="17"/>
  <c r="D73" i="17"/>
  <c r="B73" i="17"/>
  <c r="F72" i="17"/>
  <c r="E72" i="17"/>
  <c r="D72" i="17"/>
  <c r="B72" i="17"/>
  <c r="F71" i="17"/>
  <c r="E71" i="17"/>
  <c r="D71" i="17"/>
  <c r="B71" i="17"/>
  <c r="F70" i="17"/>
  <c r="E70" i="17"/>
  <c r="D70" i="17"/>
  <c r="B70" i="17"/>
  <c r="F69" i="17"/>
  <c r="E69" i="17"/>
  <c r="D69" i="17"/>
  <c r="B69" i="17"/>
  <c r="F68" i="17"/>
  <c r="E68" i="17"/>
  <c r="D68" i="17"/>
  <c r="B68" i="17"/>
  <c r="F67" i="17"/>
  <c r="E67" i="17"/>
  <c r="D67" i="17"/>
  <c r="B67" i="17"/>
  <c r="F66" i="17"/>
  <c r="E66" i="17"/>
  <c r="D66" i="17"/>
  <c r="B66" i="17"/>
  <c r="F65" i="17"/>
  <c r="E65" i="17"/>
  <c r="D65" i="17"/>
  <c r="B65" i="17"/>
  <c r="F64" i="17"/>
  <c r="E64" i="17"/>
  <c r="D64" i="17"/>
  <c r="B64" i="17"/>
  <c r="F63" i="17"/>
  <c r="E63" i="17"/>
  <c r="D63" i="17"/>
  <c r="B63" i="17"/>
  <c r="F62" i="17"/>
  <c r="E62" i="17"/>
  <c r="D62" i="17"/>
  <c r="B62" i="17"/>
  <c r="F61" i="17"/>
  <c r="E61" i="17"/>
  <c r="D61" i="17"/>
  <c r="B61" i="17"/>
  <c r="F60" i="17"/>
  <c r="E60" i="17"/>
  <c r="D60" i="17"/>
  <c r="B60" i="17"/>
  <c r="F59" i="17"/>
  <c r="E59" i="17"/>
  <c r="D59" i="17"/>
  <c r="B59" i="17"/>
  <c r="F58" i="17"/>
  <c r="E58" i="17"/>
  <c r="D58" i="17"/>
  <c r="B58" i="17"/>
  <c r="F57" i="17"/>
  <c r="E57" i="17"/>
  <c r="D57" i="17"/>
  <c r="B57" i="17"/>
  <c r="F56" i="17"/>
  <c r="E56" i="17"/>
  <c r="D56" i="17"/>
  <c r="B56" i="17"/>
  <c r="F55" i="17"/>
  <c r="E55" i="17"/>
  <c r="D55" i="17"/>
  <c r="B55" i="17"/>
  <c r="F54" i="17"/>
  <c r="E54" i="17"/>
  <c r="D54" i="17"/>
  <c r="B54" i="17"/>
  <c r="F53" i="17"/>
  <c r="E53" i="17"/>
  <c r="D53" i="17"/>
  <c r="B53" i="17"/>
  <c r="F46" i="17"/>
  <c r="E46" i="17"/>
  <c r="D46" i="17"/>
  <c r="B46" i="17"/>
  <c r="F45" i="17"/>
  <c r="E45" i="17"/>
  <c r="D45" i="17"/>
  <c r="B45" i="17"/>
  <c r="F44" i="17"/>
  <c r="E44" i="17"/>
  <c r="D44" i="17"/>
  <c r="B44" i="17"/>
  <c r="F43" i="17"/>
  <c r="E43" i="17"/>
  <c r="D43" i="17"/>
  <c r="B43" i="17"/>
  <c r="F42" i="17"/>
  <c r="E42" i="17"/>
  <c r="D42" i="17"/>
  <c r="B42" i="17"/>
  <c r="F41" i="17"/>
  <c r="E41" i="17"/>
  <c r="D41" i="17"/>
  <c r="B41" i="17"/>
  <c r="F40" i="17"/>
  <c r="E40" i="17"/>
  <c r="D40" i="17"/>
  <c r="B40" i="17"/>
  <c r="F39" i="17"/>
  <c r="E39" i="17"/>
  <c r="D39" i="17"/>
  <c r="B39" i="17"/>
  <c r="F38" i="17"/>
  <c r="E38" i="17"/>
  <c r="D38" i="17"/>
  <c r="B38" i="17"/>
  <c r="F37" i="17"/>
  <c r="E37" i="17"/>
  <c r="D37" i="17"/>
  <c r="B37" i="17"/>
  <c r="F36" i="17"/>
  <c r="E36" i="17"/>
  <c r="D36" i="17"/>
  <c r="B36" i="17"/>
  <c r="F35" i="17"/>
  <c r="E35" i="17"/>
  <c r="D35" i="17"/>
  <c r="B35" i="17"/>
  <c r="F34" i="17"/>
  <c r="E34" i="17"/>
  <c r="D34" i="17"/>
  <c r="B34" i="17"/>
  <c r="F33" i="17"/>
  <c r="E33" i="17"/>
  <c r="D33" i="17"/>
  <c r="B33" i="17"/>
  <c r="F32" i="17"/>
  <c r="E32" i="17"/>
  <c r="D32" i="17"/>
  <c r="B32" i="17"/>
  <c r="F31" i="17"/>
  <c r="E31" i="17"/>
  <c r="D31" i="17"/>
  <c r="B31" i="17"/>
  <c r="F30" i="17"/>
  <c r="E30" i="17"/>
  <c r="D30" i="17"/>
  <c r="B30" i="17"/>
  <c r="F29" i="17"/>
  <c r="E29" i="17"/>
  <c r="D29" i="17"/>
  <c r="B29" i="17"/>
  <c r="F28" i="17"/>
  <c r="E28" i="17"/>
  <c r="D28" i="17"/>
  <c r="B28" i="17"/>
  <c r="F27" i="17"/>
  <c r="E27" i="17"/>
  <c r="D27" i="17"/>
  <c r="B27" i="17"/>
  <c r="F26" i="17"/>
  <c r="E26" i="17"/>
  <c r="D26" i="17"/>
  <c r="B26" i="17"/>
  <c r="F25" i="17"/>
  <c r="E25" i="17"/>
  <c r="D25" i="17"/>
  <c r="B25" i="17"/>
  <c r="F24" i="17"/>
  <c r="E24" i="17"/>
  <c r="D24" i="17"/>
  <c r="B24" i="17"/>
  <c r="F23" i="17"/>
  <c r="E23" i="17"/>
  <c r="D23" i="17"/>
  <c r="B23" i="17"/>
  <c r="F22" i="17"/>
  <c r="E22" i="17"/>
  <c r="D22" i="17"/>
  <c r="B22" i="17"/>
  <c r="F21" i="17"/>
  <c r="E21" i="17"/>
  <c r="D21" i="17"/>
  <c r="B21" i="17"/>
  <c r="F20" i="17"/>
  <c r="E20" i="17"/>
  <c r="D20" i="17"/>
  <c r="B20" i="17"/>
  <c r="F19" i="17"/>
  <c r="E19" i="17"/>
  <c r="D19" i="17"/>
  <c r="B19" i="17"/>
  <c r="F18" i="17"/>
  <c r="E18" i="17"/>
  <c r="D18" i="17"/>
  <c r="B18" i="17"/>
  <c r="F17" i="17"/>
  <c r="E17" i="17"/>
  <c r="D17" i="17"/>
  <c r="B17" i="17"/>
  <c r="F82" i="2"/>
  <c r="E82" i="2"/>
  <c r="D82" i="2"/>
  <c r="B82" i="2"/>
  <c r="F81" i="2"/>
  <c r="E81" i="2"/>
  <c r="D81" i="2"/>
  <c r="B81" i="2"/>
  <c r="F80" i="2"/>
  <c r="E80" i="2"/>
  <c r="D80" i="2"/>
  <c r="B80" i="2"/>
  <c r="F79" i="2"/>
  <c r="E79" i="2"/>
  <c r="D79" i="2"/>
  <c r="B79" i="2"/>
  <c r="F78" i="2"/>
  <c r="E78" i="2"/>
  <c r="D78" i="2"/>
  <c r="B78" i="2"/>
  <c r="F77" i="2"/>
  <c r="E77" i="2"/>
  <c r="D77" i="2"/>
  <c r="B77" i="2"/>
  <c r="F76" i="2"/>
  <c r="E76" i="2"/>
  <c r="D76" i="2"/>
  <c r="B76" i="2"/>
  <c r="F75" i="2"/>
  <c r="E75" i="2"/>
  <c r="D75" i="2"/>
  <c r="B75" i="2"/>
  <c r="F74" i="2"/>
  <c r="E74" i="2"/>
  <c r="D74" i="2"/>
  <c r="B74" i="2"/>
  <c r="F73" i="2"/>
  <c r="E73" i="2"/>
  <c r="D73" i="2"/>
  <c r="B73" i="2"/>
  <c r="F72" i="2"/>
  <c r="E72" i="2"/>
  <c r="D72" i="2"/>
  <c r="B72" i="2"/>
  <c r="F71" i="2"/>
  <c r="E71" i="2"/>
  <c r="D71" i="2"/>
  <c r="B71" i="2"/>
  <c r="F70" i="2"/>
  <c r="E70" i="2"/>
  <c r="D70" i="2"/>
  <c r="B70" i="2"/>
  <c r="F69" i="2"/>
  <c r="E69" i="2"/>
  <c r="D69" i="2"/>
  <c r="B69" i="2"/>
  <c r="F68" i="2"/>
  <c r="E68" i="2"/>
  <c r="D68" i="2"/>
  <c r="B68" i="2"/>
  <c r="F67" i="2"/>
  <c r="E67" i="2"/>
  <c r="D67" i="2"/>
  <c r="B67" i="2"/>
  <c r="F66" i="2"/>
  <c r="E66" i="2"/>
  <c r="D66" i="2"/>
  <c r="B66" i="2"/>
  <c r="F65" i="2"/>
  <c r="E65" i="2"/>
  <c r="D65" i="2"/>
  <c r="B65" i="2"/>
  <c r="F64" i="2"/>
  <c r="E64" i="2"/>
  <c r="D64" i="2"/>
  <c r="B64" i="2"/>
  <c r="F63" i="2"/>
  <c r="E63" i="2"/>
  <c r="D63" i="2"/>
  <c r="B63" i="2"/>
  <c r="F62" i="2"/>
  <c r="E62" i="2"/>
  <c r="D62" i="2"/>
  <c r="B62" i="2"/>
  <c r="F61" i="2"/>
  <c r="E61" i="2"/>
  <c r="D61" i="2"/>
  <c r="B61" i="2"/>
  <c r="F60" i="2"/>
  <c r="E60" i="2"/>
  <c r="D60" i="2"/>
  <c r="B60" i="2"/>
  <c r="F59" i="2"/>
  <c r="E59" i="2"/>
  <c r="D59" i="2"/>
  <c r="B59" i="2"/>
  <c r="F58" i="2"/>
  <c r="E58" i="2"/>
  <c r="D58" i="2"/>
  <c r="B58" i="2"/>
  <c r="F57" i="2"/>
  <c r="E57" i="2"/>
  <c r="D57" i="2"/>
  <c r="B57" i="2"/>
  <c r="F56" i="2"/>
  <c r="E56" i="2"/>
  <c r="D56" i="2"/>
  <c r="B56" i="2"/>
  <c r="F55" i="2"/>
  <c r="E55" i="2"/>
  <c r="D55" i="2"/>
  <c r="B55" i="2"/>
  <c r="F54" i="2"/>
  <c r="E54" i="2"/>
  <c r="D54" i="2"/>
  <c r="B54" i="2"/>
  <c r="F53" i="2"/>
  <c r="E53" i="2"/>
  <c r="D53" i="2"/>
  <c r="B53" i="2"/>
  <c r="F46" i="2"/>
  <c r="E46" i="2"/>
  <c r="D46" i="2"/>
  <c r="B46" i="2"/>
  <c r="F45" i="2"/>
  <c r="E45" i="2"/>
  <c r="D45" i="2"/>
  <c r="B45" i="2"/>
  <c r="F44" i="2"/>
  <c r="E44" i="2"/>
  <c r="D44" i="2"/>
  <c r="B44" i="2"/>
  <c r="F43" i="2"/>
  <c r="E43" i="2"/>
  <c r="D43" i="2"/>
  <c r="B43" i="2"/>
  <c r="F42" i="2"/>
  <c r="E42" i="2"/>
  <c r="D42" i="2"/>
  <c r="B42" i="2"/>
  <c r="F41" i="2"/>
  <c r="E41" i="2"/>
  <c r="D41" i="2"/>
  <c r="B41" i="2"/>
  <c r="F40" i="2"/>
  <c r="E40" i="2"/>
  <c r="D40" i="2"/>
  <c r="B40" i="2"/>
  <c r="F39" i="2"/>
  <c r="E39" i="2"/>
  <c r="D39" i="2"/>
  <c r="B39" i="2"/>
  <c r="F38" i="2"/>
  <c r="E38" i="2"/>
  <c r="D38" i="2"/>
  <c r="B38" i="2"/>
  <c r="F37" i="2"/>
  <c r="E37" i="2"/>
  <c r="D37" i="2"/>
  <c r="B37" i="2"/>
  <c r="F36" i="2"/>
  <c r="E36" i="2"/>
  <c r="D36" i="2"/>
  <c r="B36" i="2"/>
  <c r="F35" i="2"/>
  <c r="E35" i="2"/>
  <c r="D35" i="2"/>
  <c r="B35" i="2"/>
  <c r="F34" i="2"/>
  <c r="E34" i="2"/>
  <c r="D34" i="2"/>
  <c r="B34" i="2"/>
  <c r="F33" i="2"/>
  <c r="E33" i="2"/>
  <c r="D33" i="2"/>
  <c r="B33" i="2"/>
  <c r="F32" i="2"/>
  <c r="E32" i="2"/>
  <c r="D32" i="2"/>
  <c r="B32" i="2"/>
  <c r="F31" i="2"/>
  <c r="E31" i="2"/>
  <c r="D31" i="2"/>
  <c r="B31" i="2"/>
  <c r="F30" i="2"/>
  <c r="E30" i="2"/>
  <c r="D30" i="2"/>
  <c r="B30" i="2"/>
  <c r="F29" i="2"/>
  <c r="E29" i="2"/>
  <c r="D29" i="2"/>
  <c r="B29" i="2"/>
  <c r="F28" i="2"/>
  <c r="E28" i="2"/>
  <c r="D28" i="2"/>
  <c r="B28" i="2"/>
  <c r="F27" i="2"/>
  <c r="E27" i="2"/>
  <c r="D27" i="2"/>
  <c r="B27" i="2"/>
  <c r="F26" i="2"/>
  <c r="E26" i="2"/>
  <c r="D26" i="2"/>
  <c r="B26" i="2"/>
  <c r="F25" i="2"/>
  <c r="E25" i="2"/>
  <c r="D25" i="2"/>
  <c r="B25" i="2"/>
  <c r="F24" i="2"/>
  <c r="E24" i="2"/>
  <c r="D24" i="2"/>
  <c r="B24" i="2"/>
  <c r="F23" i="2"/>
  <c r="E23" i="2"/>
  <c r="D23" i="2"/>
  <c r="B23" i="2"/>
  <c r="F22" i="2"/>
  <c r="E22" i="2"/>
  <c r="D22" i="2"/>
  <c r="B22" i="2"/>
  <c r="F21" i="2"/>
  <c r="E21" i="2"/>
  <c r="D21" i="2"/>
  <c r="B21" i="2"/>
  <c r="F20" i="2"/>
  <c r="E20" i="2"/>
  <c r="D20" i="2"/>
  <c r="B20" i="2"/>
  <c r="F19" i="2"/>
  <c r="E19" i="2"/>
  <c r="D19" i="2"/>
  <c r="B19" i="2"/>
  <c r="F18" i="2"/>
  <c r="E18" i="2"/>
  <c r="D18" i="2"/>
  <c r="B18" i="2"/>
  <c r="E17" i="2"/>
  <c r="D17" i="2"/>
  <c r="F52" i="20"/>
  <c r="F17" i="2"/>
  <c r="J82" i="2"/>
  <c r="J82" i="17" s="1"/>
  <c r="J82" i="18" s="1"/>
  <c r="J82" i="19" s="1"/>
  <c r="J82" i="20" s="1"/>
  <c r="J82" i="21" s="1"/>
  <c r="J82" i="22" s="1"/>
  <c r="J82" i="23" s="1"/>
  <c r="J82" i="24" s="1"/>
  <c r="J82" i="25" s="1"/>
  <c r="J82" i="26" s="1"/>
  <c r="J82" i="27" s="1"/>
  <c r="J82" i="28" s="1"/>
  <c r="J82" i="29" s="1"/>
  <c r="J82" i="30" s="1"/>
  <c r="J82" i="31" s="1"/>
  <c r="J81" i="2"/>
  <c r="J81" i="17" s="1"/>
  <c r="J81" i="18" s="1"/>
  <c r="J81" i="19" s="1"/>
  <c r="J81" i="20" s="1"/>
  <c r="J81" i="21" s="1"/>
  <c r="J81" i="22" s="1"/>
  <c r="J81" i="23" s="1"/>
  <c r="J81" i="24" s="1"/>
  <c r="J81" i="25" s="1"/>
  <c r="J81" i="26" s="1"/>
  <c r="J81" i="27" s="1"/>
  <c r="J81" i="28" s="1"/>
  <c r="J81" i="29" s="1"/>
  <c r="J81" i="30" s="1"/>
  <c r="J81" i="31" s="1"/>
  <c r="J80" i="2"/>
  <c r="J80" i="17" s="1"/>
  <c r="J80" i="18" s="1"/>
  <c r="J80" i="19" s="1"/>
  <c r="J80" i="20" s="1"/>
  <c r="J80" i="21" s="1"/>
  <c r="J80" i="22" s="1"/>
  <c r="J80" i="23" s="1"/>
  <c r="J80" i="24" s="1"/>
  <c r="J80" i="25" s="1"/>
  <c r="J80" i="26" s="1"/>
  <c r="J80" i="27" s="1"/>
  <c r="J80" i="28" s="1"/>
  <c r="J80" i="29" s="1"/>
  <c r="J80" i="30" s="1"/>
  <c r="J80" i="31" s="1"/>
  <c r="J79" i="2"/>
  <c r="J79" i="17" s="1"/>
  <c r="J79" i="18" s="1"/>
  <c r="J79" i="19" s="1"/>
  <c r="J79" i="20" s="1"/>
  <c r="J79" i="21" s="1"/>
  <c r="J79" i="22" s="1"/>
  <c r="J79" i="23" s="1"/>
  <c r="J79" i="24" s="1"/>
  <c r="J79" i="25" s="1"/>
  <c r="J79" i="26" s="1"/>
  <c r="J79" i="27" s="1"/>
  <c r="J79" i="28" s="1"/>
  <c r="J79" i="29" s="1"/>
  <c r="J79" i="30" s="1"/>
  <c r="J79" i="31" s="1"/>
  <c r="J78" i="2"/>
  <c r="J78" i="17" s="1"/>
  <c r="J78" i="18" s="1"/>
  <c r="J78" i="19" s="1"/>
  <c r="J78" i="20" s="1"/>
  <c r="J78" i="21" s="1"/>
  <c r="J78" i="22" s="1"/>
  <c r="J78" i="23" s="1"/>
  <c r="J78" i="24" s="1"/>
  <c r="J78" i="25" s="1"/>
  <c r="J78" i="26" s="1"/>
  <c r="J78" i="27" s="1"/>
  <c r="J78" i="28" s="1"/>
  <c r="J78" i="29" s="1"/>
  <c r="J78" i="30" s="1"/>
  <c r="J78" i="31" s="1"/>
  <c r="J77" i="2"/>
  <c r="J77" i="17" s="1"/>
  <c r="J77" i="18" s="1"/>
  <c r="J77" i="19" s="1"/>
  <c r="J77" i="20" s="1"/>
  <c r="J77" i="21" s="1"/>
  <c r="J77" i="22" s="1"/>
  <c r="J77" i="23" s="1"/>
  <c r="J77" i="24" s="1"/>
  <c r="J77" i="25" s="1"/>
  <c r="J77" i="26" s="1"/>
  <c r="J77" i="27" s="1"/>
  <c r="J77" i="28" s="1"/>
  <c r="J77" i="29" s="1"/>
  <c r="J77" i="30" s="1"/>
  <c r="J77" i="31" s="1"/>
  <c r="J76" i="2"/>
  <c r="J76" i="17" s="1"/>
  <c r="J76" i="18" s="1"/>
  <c r="J76" i="19" s="1"/>
  <c r="J76" i="20" s="1"/>
  <c r="J76" i="21" s="1"/>
  <c r="J76" i="22" s="1"/>
  <c r="J76" i="23" s="1"/>
  <c r="J76" i="24" s="1"/>
  <c r="J76" i="25" s="1"/>
  <c r="J76" i="26" s="1"/>
  <c r="J76" i="27" s="1"/>
  <c r="J76" i="28" s="1"/>
  <c r="J76" i="29" s="1"/>
  <c r="J76" i="30" s="1"/>
  <c r="J76" i="31" s="1"/>
  <c r="J75" i="2"/>
  <c r="J75" i="17" s="1"/>
  <c r="J75" i="18" s="1"/>
  <c r="J75" i="19" s="1"/>
  <c r="J75" i="20" s="1"/>
  <c r="J75" i="21" s="1"/>
  <c r="J75" i="22" s="1"/>
  <c r="J75" i="23" s="1"/>
  <c r="J75" i="24" s="1"/>
  <c r="J75" i="25" s="1"/>
  <c r="J75" i="26" s="1"/>
  <c r="J75" i="27" s="1"/>
  <c r="J75" i="28" s="1"/>
  <c r="J75" i="29" s="1"/>
  <c r="J75" i="30" s="1"/>
  <c r="J75" i="31" s="1"/>
  <c r="J74" i="2"/>
  <c r="J74" i="17" s="1"/>
  <c r="J74" i="18" s="1"/>
  <c r="J74" i="19" s="1"/>
  <c r="J74" i="20" s="1"/>
  <c r="J74" i="21" s="1"/>
  <c r="J74" i="22" s="1"/>
  <c r="J74" i="23" s="1"/>
  <c r="J74" i="24" s="1"/>
  <c r="J74" i="25" s="1"/>
  <c r="J74" i="26" s="1"/>
  <c r="J74" i="27" s="1"/>
  <c r="J74" i="28" s="1"/>
  <c r="J74" i="29" s="1"/>
  <c r="J74" i="30" s="1"/>
  <c r="J74" i="31" s="1"/>
  <c r="J73" i="2"/>
  <c r="J73" i="17" s="1"/>
  <c r="J73" i="18" s="1"/>
  <c r="J73" i="19" s="1"/>
  <c r="J73" i="20" s="1"/>
  <c r="J73" i="21" s="1"/>
  <c r="J73" i="22" s="1"/>
  <c r="J73" i="23" s="1"/>
  <c r="J73" i="24" s="1"/>
  <c r="J73" i="25" s="1"/>
  <c r="J73" i="26" s="1"/>
  <c r="J73" i="27" s="1"/>
  <c r="J73" i="28" s="1"/>
  <c r="J73" i="29" s="1"/>
  <c r="J73" i="30" s="1"/>
  <c r="J73" i="31" s="1"/>
  <c r="J72" i="2"/>
  <c r="J72" i="17" s="1"/>
  <c r="J72" i="18" s="1"/>
  <c r="J72" i="19" s="1"/>
  <c r="J72" i="20" s="1"/>
  <c r="J72" i="21" s="1"/>
  <c r="J72" i="22" s="1"/>
  <c r="J72" i="23" s="1"/>
  <c r="J72" i="24" s="1"/>
  <c r="J72" i="25" s="1"/>
  <c r="J72" i="26" s="1"/>
  <c r="J72" i="27" s="1"/>
  <c r="J72" i="28" s="1"/>
  <c r="J72" i="29" s="1"/>
  <c r="J72" i="30" s="1"/>
  <c r="J72" i="31" s="1"/>
  <c r="J71" i="2"/>
  <c r="J71" i="17" s="1"/>
  <c r="J71" i="18" s="1"/>
  <c r="J71" i="19" s="1"/>
  <c r="J71" i="20" s="1"/>
  <c r="J71" i="21" s="1"/>
  <c r="J71" i="22" s="1"/>
  <c r="J71" i="23" s="1"/>
  <c r="J71" i="24" s="1"/>
  <c r="J71" i="25" s="1"/>
  <c r="J71" i="26" s="1"/>
  <c r="J71" i="27" s="1"/>
  <c r="J71" i="28" s="1"/>
  <c r="J71" i="29" s="1"/>
  <c r="J71" i="30" s="1"/>
  <c r="J71" i="31" s="1"/>
  <c r="J70" i="2"/>
  <c r="J70" i="17" s="1"/>
  <c r="J70" i="18" s="1"/>
  <c r="J70" i="19" s="1"/>
  <c r="J70" i="20" s="1"/>
  <c r="J70" i="21" s="1"/>
  <c r="J70" i="22" s="1"/>
  <c r="J70" i="23" s="1"/>
  <c r="J70" i="24" s="1"/>
  <c r="J70" i="25" s="1"/>
  <c r="J70" i="26" s="1"/>
  <c r="J70" i="27" s="1"/>
  <c r="J70" i="28" s="1"/>
  <c r="J70" i="29" s="1"/>
  <c r="J70" i="30" s="1"/>
  <c r="J70" i="31" s="1"/>
  <c r="J69" i="2"/>
  <c r="J69" i="17" s="1"/>
  <c r="J69" i="18" s="1"/>
  <c r="J69" i="19" s="1"/>
  <c r="J69" i="20" s="1"/>
  <c r="J69" i="21" s="1"/>
  <c r="J69" i="22" s="1"/>
  <c r="J69" i="23" s="1"/>
  <c r="J69" i="24" s="1"/>
  <c r="J69" i="25" s="1"/>
  <c r="J69" i="26" s="1"/>
  <c r="J69" i="27" s="1"/>
  <c r="J69" i="28" s="1"/>
  <c r="J69" i="29" s="1"/>
  <c r="J69" i="30" s="1"/>
  <c r="J69" i="31" s="1"/>
  <c r="J68" i="2"/>
  <c r="J68" i="17" s="1"/>
  <c r="J68" i="18" s="1"/>
  <c r="J68" i="19" s="1"/>
  <c r="J68" i="20" s="1"/>
  <c r="J68" i="21" s="1"/>
  <c r="J68" i="22" s="1"/>
  <c r="J68" i="23" s="1"/>
  <c r="J68" i="24" s="1"/>
  <c r="J68" i="25" s="1"/>
  <c r="J68" i="26" s="1"/>
  <c r="J68" i="27" s="1"/>
  <c r="J68" i="28" s="1"/>
  <c r="J68" i="29" s="1"/>
  <c r="J68" i="30" s="1"/>
  <c r="J68" i="31" s="1"/>
  <c r="J67" i="2"/>
  <c r="J67" i="17" s="1"/>
  <c r="J67" i="18" s="1"/>
  <c r="J67" i="19" s="1"/>
  <c r="J67" i="20" s="1"/>
  <c r="J67" i="21" s="1"/>
  <c r="J67" i="22" s="1"/>
  <c r="J67" i="23" s="1"/>
  <c r="J67" i="24" s="1"/>
  <c r="J67" i="25" s="1"/>
  <c r="J67" i="26" s="1"/>
  <c r="J67" i="27" s="1"/>
  <c r="J67" i="28" s="1"/>
  <c r="J67" i="29" s="1"/>
  <c r="J67" i="30" s="1"/>
  <c r="J67" i="31" s="1"/>
  <c r="J66" i="2"/>
  <c r="J66" i="17" s="1"/>
  <c r="J66" i="18" s="1"/>
  <c r="J66" i="19" s="1"/>
  <c r="J66" i="20" s="1"/>
  <c r="J66" i="21" s="1"/>
  <c r="J66" i="22" s="1"/>
  <c r="J66" i="23" s="1"/>
  <c r="J66" i="24" s="1"/>
  <c r="J66" i="25" s="1"/>
  <c r="J66" i="26" s="1"/>
  <c r="J66" i="27" s="1"/>
  <c r="J66" i="28" s="1"/>
  <c r="J66" i="29" s="1"/>
  <c r="J66" i="30" s="1"/>
  <c r="J66" i="31" s="1"/>
  <c r="J65" i="2"/>
  <c r="J65" i="17" s="1"/>
  <c r="J65" i="18" s="1"/>
  <c r="J65" i="19" s="1"/>
  <c r="J65" i="20" s="1"/>
  <c r="J65" i="21" s="1"/>
  <c r="J65" i="22" s="1"/>
  <c r="J65" i="23" s="1"/>
  <c r="J65" i="24" s="1"/>
  <c r="J65" i="25" s="1"/>
  <c r="J65" i="26" s="1"/>
  <c r="J65" i="27" s="1"/>
  <c r="J65" i="28" s="1"/>
  <c r="J65" i="29" s="1"/>
  <c r="J65" i="30" s="1"/>
  <c r="J65" i="31" s="1"/>
  <c r="J64" i="2"/>
  <c r="J64" i="17" s="1"/>
  <c r="J64" i="18" s="1"/>
  <c r="J64" i="19" s="1"/>
  <c r="J64" i="20" s="1"/>
  <c r="J64" i="21" s="1"/>
  <c r="J64" i="22" s="1"/>
  <c r="J64" i="23" s="1"/>
  <c r="J64" i="24" s="1"/>
  <c r="J64" i="25" s="1"/>
  <c r="J64" i="26" s="1"/>
  <c r="J64" i="27" s="1"/>
  <c r="J64" i="28" s="1"/>
  <c r="J64" i="29" s="1"/>
  <c r="J64" i="30" s="1"/>
  <c r="J64" i="31" s="1"/>
  <c r="J63" i="2"/>
  <c r="J63" i="17" s="1"/>
  <c r="J63" i="18" s="1"/>
  <c r="J63" i="19" s="1"/>
  <c r="J63" i="20" s="1"/>
  <c r="J63" i="21" s="1"/>
  <c r="J63" i="22" s="1"/>
  <c r="J63" i="23" s="1"/>
  <c r="J63" i="24" s="1"/>
  <c r="J63" i="25" s="1"/>
  <c r="J63" i="26" s="1"/>
  <c r="J63" i="27" s="1"/>
  <c r="J63" i="28" s="1"/>
  <c r="J63" i="29" s="1"/>
  <c r="J63" i="30" s="1"/>
  <c r="J63" i="31" s="1"/>
  <c r="J62" i="2"/>
  <c r="J62" i="17" s="1"/>
  <c r="J62" i="18" s="1"/>
  <c r="J62" i="19" s="1"/>
  <c r="J62" i="20" s="1"/>
  <c r="J62" i="21" s="1"/>
  <c r="J62" i="22" s="1"/>
  <c r="J62" i="23" s="1"/>
  <c r="J62" i="24" s="1"/>
  <c r="J62" i="25" s="1"/>
  <c r="J62" i="26" s="1"/>
  <c r="J62" i="27" s="1"/>
  <c r="J62" i="28" s="1"/>
  <c r="J62" i="29" s="1"/>
  <c r="J62" i="30" s="1"/>
  <c r="J62" i="31" s="1"/>
  <c r="J61" i="2"/>
  <c r="J61" i="17" s="1"/>
  <c r="J61" i="18" s="1"/>
  <c r="J61" i="19" s="1"/>
  <c r="J61" i="20" s="1"/>
  <c r="J61" i="21" s="1"/>
  <c r="J61" i="22" s="1"/>
  <c r="J61" i="23" s="1"/>
  <c r="J61" i="24" s="1"/>
  <c r="J61" i="25" s="1"/>
  <c r="J61" i="26" s="1"/>
  <c r="J61" i="27" s="1"/>
  <c r="J61" i="28" s="1"/>
  <c r="J61" i="29" s="1"/>
  <c r="J61" i="30" s="1"/>
  <c r="J61" i="31" s="1"/>
  <c r="J60" i="2"/>
  <c r="J60" i="17" s="1"/>
  <c r="J60" i="18" s="1"/>
  <c r="J60" i="19" s="1"/>
  <c r="J60" i="20" s="1"/>
  <c r="J60" i="21" s="1"/>
  <c r="J60" i="22" s="1"/>
  <c r="J60" i="23" s="1"/>
  <c r="J60" i="24" s="1"/>
  <c r="J60" i="25" s="1"/>
  <c r="J60" i="26" s="1"/>
  <c r="J60" i="27" s="1"/>
  <c r="J60" i="28" s="1"/>
  <c r="J60" i="29" s="1"/>
  <c r="J60" i="30" s="1"/>
  <c r="J60" i="31" s="1"/>
  <c r="J59" i="2"/>
  <c r="J59" i="17" s="1"/>
  <c r="J59" i="18" s="1"/>
  <c r="J59" i="19" s="1"/>
  <c r="J59" i="20" s="1"/>
  <c r="J59" i="21" s="1"/>
  <c r="J59" i="22" s="1"/>
  <c r="J59" i="23" s="1"/>
  <c r="J59" i="24" s="1"/>
  <c r="J59" i="25" s="1"/>
  <c r="J59" i="26" s="1"/>
  <c r="J59" i="27" s="1"/>
  <c r="J59" i="28" s="1"/>
  <c r="J59" i="29" s="1"/>
  <c r="J59" i="30" s="1"/>
  <c r="J59" i="31" s="1"/>
  <c r="J58" i="2"/>
  <c r="J58" i="17" s="1"/>
  <c r="J58" i="18" s="1"/>
  <c r="J58" i="19" s="1"/>
  <c r="J58" i="20" s="1"/>
  <c r="J58" i="21" s="1"/>
  <c r="J58" i="22" s="1"/>
  <c r="J58" i="23" s="1"/>
  <c r="J58" i="24" s="1"/>
  <c r="J58" i="25" s="1"/>
  <c r="J58" i="26" s="1"/>
  <c r="J58" i="27" s="1"/>
  <c r="J58" i="28" s="1"/>
  <c r="J58" i="29" s="1"/>
  <c r="J58" i="30" s="1"/>
  <c r="J58" i="31" s="1"/>
  <c r="J57" i="2"/>
  <c r="J57" i="17" s="1"/>
  <c r="J57" i="18" s="1"/>
  <c r="J57" i="19" s="1"/>
  <c r="J57" i="20" s="1"/>
  <c r="J57" i="21" s="1"/>
  <c r="J57" i="22" s="1"/>
  <c r="J57" i="23" s="1"/>
  <c r="J57" i="24" s="1"/>
  <c r="J57" i="25" s="1"/>
  <c r="J57" i="26" s="1"/>
  <c r="J57" i="27" s="1"/>
  <c r="J57" i="28" s="1"/>
  <c r="J57" i="29" s="1"/>
  <c r="J57" i="30" s="1"/>
  <c r="J57" i="31" s="1"/>
  <c r="J56" i="2"/>
  <c r="J56" i="17" s="1"/>
  <c r="J56" i="18" s="1"/>
  <c r="J56" i="19" s="1"/>
  <c r="J56" i="20" s="1"/>
  <c r="J56" i="21" s="1"/>
  <c r="J56" i="22" s="1"/>
  <c r="J56" i="23" s="1"/>
  <c r="J56" i="24" s="1"/>
  <c r="J56" i="25" s="1"/>
  <c r="J56" i="26" s="1"/>
  <c r="J56" i="27" s="1"/>
  <c r="J56" i="28" s="1"/>
  <c r="J56" i="29" s="1"/>
  <c r="J56" i="30" s="1"/>
  <c r="J56" i="31" s="1"/>
  <c r="J55" i="2"/>
  <c r="J55" i="17" s="1"/>
  <c r="J55" i="18" s="1"/>
  <c r="J55" i="19" s="1"/>
  <c r="J55" i="20" s="1"/>
  <c r="J55" i="21" s="1"/>
  <c r="J55" i="22" s="1"/>
  <c r="J55" i="23" s="1"/>
  <c r="J55" i="24" s="1"/>
  <c r="J55" i="25" s="1"/>
  <c r="J55" i="26" s="1"/>
  <c r="J55" i="27" s="1"/>
  <c r="J55" i="28" s="1"/>
  <c r="J55" i="29" s="1"/>
  <c r="J55" i="30" s="1"/>
  <c r="J55" i="31" s="1"/>
  <c r="J54" i="2"/>
  <c r="J54" i="17" s="1"/>
  <c r="J54" i="18" s="1"/>
  <c r="J54" i="19" s="1"/>
  <c r="J54" i="20" s="1"/>
  <c r="J54" i="21" s="1"/>
  <c r="J54" i="22" s="1"/>
  <c r="J54" i="23" s="1"/>
  <c r="J54" i="24" s="1"/>
  <c r="J54" i="25" s="1"/>
  <c r="J54" i="26" s="1"/>
  <c r="J54" i="27" s="1"/>
  <c r="J54" i="28" s="1"/>
  <c r="J54" i="29" s="1"/>
  <c r="J54" i="30" s="1"/>
  <c r="J54" i="31" s="1"/>
  <c r="J53" i="2"/>
  <c r="J53" i="17" s="1"/>
  <c r="J53" i="18" s="1"/>
  <c r="J53" i="19" s="1"/>
  <c r="J53" i="20" s="1"/>
  <c r="J53" i="21" s="1"/>
  <c r="J53" i="22" s="1"/>
  <c r="J53" i="23" s="1"/>
  <c r="J53" i="24" s="1"/>
  <c r="J53" i="25" s="1"/>
  <c r="J53" i="26" s="1"/>
  <c r="J53" i="27" s="1"/>
  <c r="J53" i="28" s="1"/>
  <c r="J53" i="29" s="1"/>
  <c r="J53" i="30" s="1"/>
  <c r="J53" i="31" s="1"/>
  <c r="J46" i="2"/>
  <c r="J46" i="17" s="1"/>
  <c r="J46" i="18" s="1"/>
  <c r="J46" i="19" s="1"/>
  <c r="J46" i="20" s="1"/>
  <c r="J46" i="21" s="1"/>
  <c r="J46" i="22" s="1"/>
  <c r="J46" i="23" s="1"/>
  <c r="J46" i="24" s="1"/>
  <c r="J46" i="25" s="1"/>
  <c r="J46" i="26" s="1"/>
  <c r="J46" i="27" s="1"/>
  <c r="J46" i="28" s="1"/>
  <c r="J46" i="29" s="1"/>
  <c r="J46" i="30" s="1"/>
  <c r="J46" i="31" s="1"/>
  <c r="J45" i="2"/>
  <c r="J45" i="17" s="1"/>
  <c r="J45" i="18" s="1"/>
  <c r="J45" i="19" s="1"/>
  <c r="J45" i="20" s="1"/>
  <c r="J45" i="21" s="1"/>
  <c r="J45" i="22" s="1"/>
  <c r="J45" i="23" s="1"/>
  <c r="J45" i="24" s="1"/>
  <c r="J45" i="25" s="1"/>
  <c r="J45" i="26" s="1"/>
  <c r="J45" i="27" s="1"/>
  <c r="J45" i="28" s="1"/>
  <c r="J45" i="29" s="1"/>
  <c r="J45" i="30" s="1"/>
  <c r="J44" i="2"/>
  <c r="J44" i="17" s="1"/>
  <c r="J44" i="18" s="1"/>
  <c r="J44" i="19" s="1"/>
  <c r="J44" i="20" s="1"/>
  <c r="J44" i="21" s="1"/>
  <c r="J44" i="22" s="1"/>
  <c r="J44" i="23" s="1"/>
  <c r="J44" i="24" s="1"/>
  <c r="J44" i="25" s="1"/>
  <c r="J44" i="26" s="1"/>
  <c r="J44" i="27" s="1"/>
  <c r="J44" i="28" s="1"/>
  <c r="J44" i="29" s="1"/>
  <c r="J44" i="30" s="1"/>
  <c r="J44" i="31" s="1"/>
  <c r="J43" i="2"/>
  <c r="J43" i="17" s="1"/>
  <c r="J43" i="18" s="1"/>
  <c r="J43" i="19" s="1"/>
  <c r="J43" i="20" s="1"/>
  <c r="J43" i="21" s="1"/>
  <c r="J43" i="22" s="1"/>
  <c r="J43" i="23" s="1"/>
  <c r="J43" i="24" s="1"/>
  <c r="J43" i="25" s="1"/>
  <c r="J43" i="26" s="1"/>
  <c r="J43" i="27" s="1"/>
  <c r="J43" i="28" s="1"/>
  <c r="J43" i="29" s="1"/>
  <c r="J43" i="30" s="1"/>
  <c r="J43" i="31" s="1"/>
  <c r="J42" i="2"/>
  <c r="J42" i="17" s="1"/>
  <c r="J42" i="18" s="1"/>
  <c r="J42" i="19" s="1"/>
  <c r="J42" i="20" s="1"/>
  <c r="J42" i="21" s="1"/>
  <c r="J42" i="22" s="1"/>
  <c r="J42" i="23" s="1"/>
  <c r="J42" i="24" s="1"/>
  <c r="J42" i="25" s="1"/>
  <c r="J42" i="26" s="1"/>
  <c r="J42" i="27" s="1"/>
  <c r="J42" i="28" s="1"/>
  <c r="J42" i="29" s="1"/>
  <c r="J42" i="30" s="1"/>
  <c r="J42" i="31" s="1"/>
  <c r="J41" i="2"/>
  <c r="J41" i="17" s="1"/>
  <c r="J41" i="18" s="1"/>
  <c r="J41" i="19" s="1"/>
  <c r="J41" i="20" s="1"/>
  <c r="J41" i="21" s="1"/>
  <c r="J41" i="22" s="1"/>
  <c r="J41" i="23" s="1"/>
  <c r="J41" i="24" s="1"/>
  <c r="J41" i="25" s="1"/>
  <c r="J41" i="26" s="1"/>
  <c r="J41" i="27" s="1"/>
  <c r="J41" i="28" s="1"/>
  <c r="J41" i="29" s="1"/>
  <c r="J41" i="30" s="1"/>
  <c r="J41" i="31" s="1"/>
  <c r="J40" i="2"/>
  <c r="J40" i="17" s="1"/>
  <c r="J40" i="18" s="1"/>
  <c r="J40" i="19" s="1"/>
  <c r="J40" i="20" s="1"/>
  <c r="J40" i="21" s="1"/>
  <c r="J40" i="22" s="1"/>
  <c r="J40" i="23" s="1"/>
  <c r="J40" i="24" s="1"/>
  <c r="J40" i="25" s="1"/>
  <c r="J40" i="26" s="1"/>
  <c r="J40" i="27" s="1"/>
  <c r="J40" i="28" s="1"/>
  <c r="J40" i="29" s="1"/>
  <c r="J40" i="30" s="1"/>
  <c r="J40" i="31" s="1"/>
  <c r="J39" i="2"/>
  <c r="J39" i="17" s="1"/>
  <c r="J39" i="18" s="1"/>
  <c r="J39" i="19" s="1"/>
  <c r="J39" i="20" s="1"/>
  <c r="J39" i="21" s="1"/>
  <c r="J39" i="22" s="1"/>
  <c r="J39" i="23" s="1"/>
  <c r="J39" i="24" s="1"/>
  <c r="J39" i="25" s="1"/>
  <c r="J39" i="26" s="1"/>
  <c r="J39" i="27" s="1"/>
  <c r="J39" i="28" s="1"/>
  <c r="J39" i="29" s="1"/>
  <c r="J39" i="30" s="1"/>
  <c r="J39" i="31" s="1"/>
  <c r="J38" i="2"/>
  <c r="J38" i="17" s="1"/>
  <c r="J38" i="18" s="1"/>
  <c r="J38" i="19" s="1"/>
  <c r="J38" i="20" s="1"/>
  <c r="J38" i="21" s="1"/>
  <c r="J38" i="22" s="1"/>
  <c r="J38" i="23" s="1"/>
  <c r="J38" i="24" s="1"/>
  <c r="J38" i="25" s="1"/>
  <c r="J38" i="26" s="1"/>
  <c r="J38" i="27" s="1"/>
  <c r="J38" i="28" s="1"/>
  <c r="J38" i="29" s="1"/>
  <c r="J38" i="30" s="1"/>
  <c r="J38" i="31" s="1"/>
  <c r="J37" i="2"/>
  <c r="J37" i="17" s="1"/>
  <c r="J37" i="18" s="1"/>
  <c r="J37" i="19" s="1"/>
  <c r="J37" i="20" s="1"/>
  <c r="J37" i="21" s="1"/>
  <c r="J37" i="22" s="1"/>
  <c r="J37" i="23" s="1"/>
  <c r="J37" i="24" s="1"/>
  <c r="J37" i="25" s="1"/>
  <c r="J37" i="26" s="1"/>
  <c r="J37" i="27" s="1"/>
  <c r="J37" i="28" s="1"/>
  <c r="J37" i="29" s="1"/>
  <c r="J37" i="30" s="1"/>
  <c r="J37" i="31" s="1"/>
  <c r="J36" i="2"/>
  <c r="J36" i="17" s="1"/>
  <c r="J36" i="18" s="1"/>
  <c r="J36" i="19" s="1"/>
  <c r="J36" i="20" s="1"/>
  <c r="J36" i="21" s="1"/>
  <c r="J36" i="22" s="1"/>
  <c r="J36" i="23" s="1"/>
  <c r="J36" i="24" s="1"/>
  <c r="J36" i="25" s="1"/>
  <c r="J36" i="26" s="1"/>
  <c r="J36" i="27" s="1"/>
  <c r="J36" i="28" s="1"/>
  <c r="J36" i="29" s="1"/>
  <c r="J36" i="30" s="1"/>
  <c r="J36" i="31" s="1"/>
  <c r="J35" i="2"/>
  <c r="J35" i="17" s="1"/>
  <c r="J35" i="18" s="1"/>
  <c r="J35" i="19" s="1"/>
  <c r="J35" i="20" s="1"/>
  <c r="J35" i="21" s="1"/>
  <c r="J35" i="22" s="1"/>
  <c r="J35" i="23" s="1"/>
  <c r="J35" i="24" s="1"/>
  <c r="J35" i="25" s="1"/>
  <c r="J35" i="26" s="1"/>
  <c r="J35" i="27" s="1"/>
  <c r="J35" i="28" s="1"/>
  <c r="J35" i="29" s="1"/>
  <c r="J35" i="30" s="1"/>
  <c r="J35" i="31" s="1"/>
  <c r="J34" i="2"/>
  <c r="J34" i="17" s="1"/>
  <c r="J34" i="18" s="1"/>
  <c r="J34" i="19" s="1"/>
  <c r="J34" i="20" s="1"/>
  <c r="J34" i="21" s="1"/>
  <c r="J34" i="22" s="1"/>
  <c r="J34" i="23" s="1"/>
  <c r="J34" i="24" s="1"/>
  <c r="J34" i="25" s="1"/>
  <c r="J34" i="26" s="1"/>
  <c r="J34" i="27" s="1"/>
  <c r="J34" i="28" s="1"/>
  <c r="J34" i="29" s="1"/>
  <c r="J34" i="30" s="1"/>
  <c r="J34" i="31" s="1"/>
  <c r="J33" i="2"/>
  <c r="J33" i="17" s="1"/>
  <c r="J33" i="18" s="1"/>
  <c r="J33" i="19" s="1"/>
  <c r="J33" i="20" s="1"/>
  <c r="J33" i="21" s="1"/>
  <c r="J33" i="22" s="1"/>
  <c r="J33" i="23" s="1"/>
  <c r="J33" i="24" s="1"/>
  <c r="J33" i="25" s="1"/>
  <c r="J33" i="26" s="1"/>
  <c r="J33" i="27" s="1"/>
  <c r="J33" i="28" s="1"/>
  <c r="J33" i="29" s="1"/>
  <c r="J33" i="30" s="1"/>
  <c r="J33" i="31" s="1"/>
  <c r="J32" i="2"/>
  <c r="J32" i="17" s="1"/>
  <c r="J32" i="18" s="1"/>
  <c r="J32" i="19" s="1"/>
  <c r="J32" i="20" s="1"/>
  <c r="J32" i="21" s="1"/>
  <c r="J32" i="22" s="1"/>
  <c r="J32" i="23" s="1"/>
  <c r="J32" i="24" s="1"/>
  <c r="J32" i="25" s="1"/>
  <c r="J32" i="26" s="1"/>
  <c r="J32" i="27" s="1"/>
  <c r="J32" i="28" s="1"/>
  <c r="J32" i="29" s="1"/>
  <c r="J32" i="30" s="1"/>
  <c r="J32" i="31" s="1"/>
  <c r="J31" i="2"/>
  <c r="J31" i="17" s="1"/>
  <c r="J31" i="18" s="1"/>
  <c r="J31" i="19" s="1"/>
  <c r="J31" i="20" s="1"/>
  <c r="J31" i="21" s="1"/>
  <c r="J31" i="22" s="1"/>
  <c r="J31" i="23" s="1"/>
  <c r="J31" i="24" s="1"/>
  <c r="J31" i="25" s="1"/>
  <c r="J31" i="26" s="1"/>
  <c r="J31" i="27" s="1"/>
  <c r="J31" i="28" s="1"/>
  <c r="J31" i="29" s="1"/>
  <c r="J31" i="30" s="1"/>
  <c r="J30" i="2"/>
  <c r="J30" i="17" s="1"/>
  <c r="J30" i="18" s="1"/>
  <c r="J30" i="19" s="1"/>
  <c r="J30" i="20" s="1"/>
  <c r="J30" i="21" s="1"/>
  <c r="J30" i="22" s="1"/>
  <c r="J30" i="23" s="1"/>
  <c r="J30" i="24" s="1"/>
  <c r="J30" i="25" s="1"/>
  <c r="J30" i="26" s="1"/>
  <c r="J30" i="27" s="1"/>
  <c r="J30" i="28" s="1"/>
  <c r="J30" i="29" s="1"/>
  <c r="J30" i="30" s="1"/>
  <c r="J30" i="31" s="1"/>
  <c r="J29" i="2"/>
  <c r="J29" i="17" s="1"/>
  <c r="J29" i="18" s="1"/>
  <c r="J29" i="19" s="1"/>
  <c r="J29" i="20" s="1"/>
  <c r="J29" i="21" s="1"/>
  <c r="J29" i="22" s="1"/>
  <c r="J29" i="23" s="1"/>
  <c r="J29" i="24" s="1"/>
  <c r="J29" i="25" s="1"/>
  <c r="J29" i="26" s="1"/>
  <c r="J29" i="27" s="1"/>
  <c r="J29" i="28" s="1"/>
  <c r="J29" i="29" s="1"/>
  <c r="J29" i="30" s="1"/>
  <c r="J29" i="31" s="1"/>
  <c r="J28" i="2"/>
  <c r="J28" i="17" s="1"/>
  <c r="J28" i="18" s="1"/>
  <c r="J28" i="19" s="1"/>
  <c r="J28" i="20" s="1"/>
  <c r="J28" i="21" s="1"/>
  <c r="J28" i="22" s="1"/>
  <c r="J28" i="23" s="1"/>
  <c r="J28" i="24" s="1"/>
  <c r="J28" i="25" s="1"/>
  <c r="J28" i="26" s="1"/>
  <c r="J28" i="27" s="1"/>
  <c r="J28" i="28" s="1"/>
  <c r="J28" i="29" s="1"/>
  <c r="J28" i="30" s="1"/>
  <c r="J28" i="31" s="1"/>
  <c r="J27" i="2"/>
  <c r="J27" i="17" s="1"/>
  <c r="J27" i="18" s="1"/>
  <c r="J27" i="19" s="1"/>
  <c r="J27" i="20" s="1"/>
  <c r="J27" i="21" s="1"/>
  <c r="J27" i="22" s="1"/>
  <c r="J27" i="23" s="1"/>
  <c r="J27" i="24" s="1"/>
  <c r="J27" i="25" s="1"/>
  <c r="J27" i="26" s="1"/>
  <c r="J27" i="27" s="1"/>
  <c r="J27" i="28" s="1"/>
  <c r="J27" i="29" s="1"/>
  <c r="J27" i="30" s="1"/>
  <c r="J27" i="31" s="1"/>
  <c r="J26" i="2"/>
  <c r="J26" i="17" s="1"/>
  <c r="J26" i="18" s="1"/>
  <c r="J26" i="19" s="1"/>
  <c r="J26" i="20" s="1"/>
  <c r="J26" i="21" s="1"/>
  <c r="J26" i="22" s="1"/>
  <c r="J26" i="23" s="1"/>
  <c r="J26" i="24" s="1"/>
  <c r="J26" i="25" s="1"/>
  <c r="J26" i="26" s="1"/>
  <c r="J26" i="27" s="1"/>
  <c r="J26" i="28" s="1"/>
  <c r="J26" i="29" s="1"/>
  <c r="J26" i="30" s="1"/>
  <c r="J26" i="31" s="1"/>
  <c r="J25" i="2"/>
  <c r="J25" i="17" s="1"/>
  <c r="J25" i="18" s="1"/>
  <c r="J25" i="19" s="1"/>
  <c r="J25" i="20" s="1"/>
  <c r="J25" i="21" s="1"/>
  <c r="J25" i="22" s="1"/>
  <c r="J25" i="23" s="1"/>
  <c r="J25" i="24" s="1"/>
  <c r="J25" i="25" s="1"/>
  <c r="J25" i="26" s="1"/>
  <c r="J25" i="27" s="1"/>
  <c r="J25" i="28" s="1"/>
  <c r="J25" i="29" s="1"/>
  <c r="J25" i="30" s="1"/>
  <c r="J25" i="31" s="1"/>
  <c r="J24" i="2"/>
  <c r="J24" i="17" s="1"/>
  <c r="J24" i="18" s="1"/>
  <c r="J24" i="19" s="1"/>
  <c r="J24" i="20" s="1"/>
  <c r="J24" i="21" s="1"/>
  <c r="J24" i="22" s="1"/>
  <c r="J24" i="23" s="1"/>
  <c r="J24" i="24" s="1"/>
  <c r="J24" i="25" s="1"/>
  <c r="J24" i="26" s="1"/>
  <c r="J24" i="27" s="1"/>
  <c r="J24" i="28" s="1"/>
  <c r="J24" i="29" s="1"/>
  <c r="J24" i="30" s="1"/>
  <c r="J24" i="31" s="1"/>
  <c r="J23" i="2"/>
  <c r="J23" i="17" s="1"/>
  <c r="J23" i="18" s="1"/>
  <c r="J23" i="19" s="1"/>
  <c r="J23" i="20" s="1"/>
  <c r="J23" i="21" s="1"/>
  <c r="J23" i="22" s="1"/>
  <c r="J23" i="23" s="1"/>
  <c r="J23" i="24" s="1"/>
  <c r="J23" i="25" s="1"/>
  <c r="J23" i="26" s="1"/>
  <c r="J23" i="27" s="1"/>
  <c r="J23" i="28" s="1"/>
  <c r="J23" i="29" s="1"/>
  <c r="J23" i="30" s="1"/>
  <c r="J23" i="31" s="1"/>
  <c r="J22" i="2"/>
  <c r="J22" i="17" s="1"/>
  <c r="J22" i="18" s="1"/>
  <c r="J22" i="19" s="1"/>
  <c r="J22" i="20" s="1"/>
  <c r="J22" i="21" s="1"/>
  <c r="J22" i="22" s="1"/>
  <c r="J22" i="23" s="1"/>
  <c r="J22" i="24" s="1"/>
  <c r="J22" i="25" s="1"/>
  <c r="J22" i="26" s="1"/>
  <c r="J22" i="27" s="1"/>
  <c r="J22" i="28" s="1"/>
  <c r="J22" i="29" s="1"/>
  <c r="J22" i="30" s="1"/>
  <c r="J22" i="31" s="1"/>
  <c r="J21" i="2"/>
  <c r="J21" i="17" s="1"/>
  <c r="J21" i="18" s="1"/>
  <c r="J21" i="19" s="1"/>
  <c r="J21" i="20" s="1"/>
  <c r="J21" i="21" s="1"/>
  <c r="J21" i="22" s="1"/>
  <c r="J21" i="23" s="1"/>
  <c r="J21" i="24" s="1"/>
  <c r="J21" i="25" s="1"/>
  <c r="J21" i="26" s="1"/>
  <c r="J21" i="27" s="1"/>
  <c r="J21" i="28" s="1"/>
  <c r="J21" i="29" s="1"/>
  <c r="J21" i="30" s="1"/>
  <c r="J21" i="31" s="1"/>
  <c r="J20" i="2"/>
  <c r="J20" i="17" s="1"/>
  <c r="J20" i="18" s="1"/>
  <c r="J20" i="19" s="1"/>
  <c r="J20" i="20" s="1"/>
  <c r="J20" i="21" s="1"/>
  <c r="J20" i="22" s="1"/>
  <c r="J20" i="23" s="1"/>
  <c r="J20" i="24" s="1"/>
  <c r="J20" i="25" s="1"/>
  <c r="J20" i="26" s="1"/>
  <c r="J20" i="27" s="1"/>
  <c r="J20" i="28" s="1"/>
  <c r="J20" i="29" s="1"/>
  <c r="J20" i="30" s="1"/>
  <c r="J19" i="2"/>
  <c r="J19" i="17" s="1"/>
  <c r="J19" i="18" s="1"/>
  <c r="J19" i="19" s="1"/>
  <c r="J19" i="20" s="1"/>
  <c r="J19" i="21" s="1"/>
  <c r="J19" i="22" s="1"/>
  <c r="J19" i="23" s="1"/>
  <c r="J19" i="24" s="1"/>
  <c r="J19" i="25" s="1"/>
  <c r="J19" i="26" s="1"/>
  <c r="J19" i="27" s="1"/>
  <c r="J19" i="28" s="1"/>
  <c r="J19" i="29" s="1"/>
  <c r="J19" i="30" s="1"/>
  <c r="J18" i="2"/>
  <c r="J18" i="17" s="1"/>
  <c r="J18" i="18" s="1"/>
  <c r="J18" i="19" s="1"/>
  <c r="J18" i="20" s="1"/>
  <c r="J18" i="21" s="1"/>
  <c r="J18" i="22" s="1"/>
  <c r="J18" i="23" s="1"/>
  <c r="J18" i="24" s="1"/>
  <c r="J18" i="25" s="1"/>
  <c r="J18" i="26" s="1"/>
  <c r="J18" i="27" s="1"/>
  <c r="J18" i="28" s="1"/>
  <c r="J18" i="29" s="1"/>
  <c r="J18" i="30" s="1"/>
  <c r="J18" i="31" s="1"/>
  <c r="J17" i="2"/>
  <c r="J17" i="17" s="1"/>
  <c r="J17" i="18" s="1"/>
  <c r="J17" i="19" s="1"/>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H82" i="2"/>
  <c r="H82" i="17" s="1"/>
  <c r="H82" i="18" s="1"/>
  <c r="H82" i="19" s="1"/>
  <c r="H82" i="20" s="1"/>
  <c r="H82" i="21" s="1"/>
  <c r="H82" i="22" s="1"/>
  <c r="H82" i="23" s="1"/>
  <c r="H82" i="24" s="1"/>
  <c r="H82" i="25" s="1"/>
  <c r="H82" i="26" s="1"/>
  <c r="H82" i="27" s="1"/>
  <c r="H82" i="28" s="1"/>
  <c r="H82" i="29" s="1"/>
  <c r="H82" i="30" s="1"/>
  <c r="H82" i="31" s="1"/>
  <c r="H81" i="2"/>
  <c r="H81" i="17" s="1"/>
  <c r="H81" i="18" s="1"/>
  <c r="H81" i="19" s="1"/>
  <c r="H81" i="20" s="1"/>
  <c r="H81" i="21" s="1"/>
  <c r="H81" i="22" s="1"/>
  <c r="H81" i="23" s="1"/>
  <c r="H81" i="24" s="1"/>
  <c r="H81" i="25" s="1"/>
  <c r="H81" i="26" s="1"/>
  <c r="H81" i="27" s="1"/>
  <c r="H81" i="28" s="1"/>
  <c r="H81" i="29" s="1"/>
  <c r="H81" i="30" s="1"/>
  <c r="H81" i="31" s="1"/>
  <c r="H80" i="2"/>
  <c r="H80" i="17" s="1"/>
  <c r="H79" i="2"/>
  <c r="H79" i="17" s="1"/>
  <c r="H79" i="18" s="1"/>
  <c r="H79" i="19" s="1"/>
  <c r="H79" i="20" s="1"/>
  <c r="H79" i="21" s="1"/>
  <c r="H79" i="22" s="1"/>
  <c r="H79" i="23" s="1"/>
  <c r="H79" i="24" s="1"/>
  <c r="H79" i="25" s="1"/>
  <c r="H79" i="26" s="1"/>
  <c r="H79" i="27" s="1"/>
  <c r="H79" i="28" s="1"/>
  <c r="H79" i="29" s="1"/>
  <c r="H79" i="30" s="1"/>
  <c r="H79" i="31" s="1"/>
  <c r="H78" i="2"/>
  <c r="H78" i="17" s="1"/>
  <c r="H78" i="18" s="1"/>
  <c r="H78" i="19" s="1"/>
  <c r="H78" i="20" s="1"/>
  <c r="H78" i="21" s="1"/>
  <c r="H78" i="22" s="1"/>
  <c r="H78" i="23" s="1"/>
  <c r="H78" i="24" s="1"/>
  <c r="H78" i="25" s="1"/>
  <c r="H78" i="26" s="1"/>
  <c r="H78" i="27" s="1"/>
  <c r="H78" i="28" s="1"/>
  <c r="H78" i="29" s="1"/>
  <c r="H78" i="30" s="1"/>
  <c r="H78" i="31" s="1"/>
  <c r="H77" i="2"/>
  <c r="H77" i="17" s="1"/>
  <c r="H77" i="18" s="1"/>
  <c r="H77" i="19" s="1"/>
  <c r="H77" i="20" s="1"/>
  <c r="H77" i="21" s="1"/>
  <c r="H77" i="22" s="1"/>
  <c r="H77" i="23" s="1"/>
  <c r="H77" i="24" s="1"/>
  <c r="H77" i="25" s="1"/>
  <c r="H77" i="26" s="1"/>
  <c r="H77" i="27" s="1"/>
  <c r="H77" i="28" s="1"/>
  <c r="H77" i="29" s="1"/>
  <c r="H77" i="30" s="1"/>
  <c r="H77" i="31" s="1"/>
  <c r="H76" i="2"/>
  <c r="H76" i="17" s="1"/>
  <c r="H75" i="2"/>
  <c r="H74" i="2"/>
  <c r="H74" i="17" s="1"/>
  <c r="H74" i="18" s="1"/>
  <c r="H74" i="19" s="1"/>
  <c r="H74" i="20" s="1"/>
  <c r="H74" i="21" s="1"/>
  <c r="H74" i="22" s="1"/>
  <c r="H74" i="23" s="1"/>
  <c r="H74" i="24" s="1"/>
  <c r="H74" i="25" s="1"/>
  <c r="H74" i="26" s="1"/>
  <c r="H74" i="27" s="1"/>
  <c r="H74" i="28" s="1"/>
  <c r="H74" i="29" s="1"/>
  <c r="H73" i="2"/>
  <c r="H73" i="17" s="1"/>
  <c r="H73" i="18" s="1"/>
  <c r="H73" i="19" s="1"/>
  <c r="H73" i="20" s="1"/>
  <c r="H73" i="21" s="1"/>
  <c r="H73" i="22" s="1"/>
  <c r="H73" i="23" s="1"/>
  <c r="H73" i="24" s="1"/>
  <c r="H73" i="25" s="1"/>
  <c r="H73" i="26" s="1"/>
  <c r="H73" i="27" s="1"/>
  <c r="H72" i="2"/>
  <c r="H72" i="17" s="1"/>
  <c r="H71" i="2"/>
  <c r="H71" i="17" s="1"/>
  <c r="H71" i="18" s="1"/>
  <c r="H71" i="19" s="1"/>
  <c r="H71" i="20" s="1"/>
  <c r="H71" i="21" s="1"/>
  <c r="H71" i="22" s="1"/>
  <c r="H71" i="23" s="1"/>
  <c r="H71" i="24" s="1"/>
  <c r="H71" i="25" s="1"/>
  <c r="H71" i="26" s="1"/>
  <c r="H71" i="27" s="1"/>
  <c r="H70" i="2"/>
  <c r="H70" i="17" s="1"/>
  <c r="H70" i="18" s="1"/>
  <c r="H70" i="19" s="1"/>
  <c r="H70" i="20" s="1"/>
  <c r="H70" i="21" s="1"/>
  <c r="H70" i="22" s="1"/>
  <c r="H70" i="23" s="1"/>
  <c r="H70" i="24" s="1"/>
  <c r="H70" i="25" s="1"/>
  <c r="H70" i="26" s="1"/>
  <c r="H70" i="27" s="1"/>
  <c r="H70" i="28" s="1"/>
  <c r="H70" i="29" s="1"/>
  <c r="H70" i="30" s="1"/>
  <c r="H70" i="31" s="1"/>
  <c r="H69" i="2"/>
  <c r="H69" i="17" s="1"/>
  <c r="H69" i="18" s="1"/>
  <c r="H69" i="19" s="1"/>
  <c r="H69" i="20" s="1"/>
  <c r="H69" i="21" s="1"/>
  <c r="H69" i="22" s="1"/>
  <c r="H69" i="23" s="1"/>
  <c r="H69" i="24" s="1"/>
  <c r="H69" i="25" s="1"/>
  <c r="H69" i="26" s="1"/>
  <c r="H69" i="27" s="1"/>
  <c r="H68" i="2"/>
  <c r="H68" i="17" s="1"/>
  <c r="H67" i="2"/>
  <c r="H67" i="17" s="1"/>
  <c r="H66" i="2"/>
  <c r="H66" i="17" s="1"/>
  <c r="H66" i="18" s="1"/>
  <c r="H66" i="19" s="1"/>
  <c r="H66" i="20" s="1"/>
  <c r="H66" i="21" s="1"/>
  <c r="H66" i="22" s="1"/>
  <c r="H66" i="23" s="1"/>
  <c r="H66" i="24" s="1"/>
  <c r="H66" i="25" s="1"/>
  <c r="H66" i="26" s="1"/>
  <c r="H66" i="27" s="1"/>
  <c r="H66" i="28" s="1"/>
  <c r="H66" i="29" s="1"/>
  <c r="H66" i="30" s="1"/>
  <c r="H66" i="31" s="1"/>
  <c r="H65" i="2"/>
  <c r="H65" i="17" s="1"/>
  <c r="H65" i="18" s="1"/>
  <c r="H65" i="19" s="1"/>
  <c r="H65" i="20" s="1"/>
  <c r="H65" i="21" s="1"/>
  <c r="H65" i="22" s="1"/>
  <c r="H65" i="23" s="1"/>
  <c r="H65" i="24" s="1"/>
  <c r="H65" i="25" s="1"/>
  <c r="H65" i="26" s="1"/>
  <c r="H65" i="27" s="1"/>
  <c r="H64" i="2"/>
  <c r="H64" i="17" s="1"/>
  <c r="H63" i="2"/>
  <c r="H63" i="17" s="1"/>
  <c r="H63" i="18" s="1"/>
  <c r="H63" i="19" s="1"/>
  <c r="H63" i="20" s="1"/>
  <c r="H63" i="21" s="1"/>
  <c r="H63" i="22" s="1"/>
  <c r="H63" i="23" s="1"/>
  <c r="H63" i="24" s="1"/>
  <c r="H63" i="25" s="1"/>
  <c r="H63" i="26" s="1"/>
  <c r="H63" i="27" s="1"/>
  <c r="H62" i="2"/>
  <c r="H62" i="17" s="1"/>
  <c r="H62" i="18" s="1"/>
  <c r="H62" i="19" s="1"/>
  <c r="H62" i="20" s="1"/>
  <c r="H62" i="21" s="1"/>
  <c r="H62" i="22" s="1"/>
  <c r="H62" i="23" s="1"/>
  <c r="H62" i="24" s="1"/>
  <c r="H62" i="25" s="1"/>
  <c r="H62" i="26" s="1"/>
  <c r="H62" i="27" s="1"/>
  <c r="H62" i="28" s="1"/>
  <c r="H62" i="29" s="1"/>
  <c r="H62" i="30" s="1"/>
  <c r="H62" i="31" s="1"/>
  <c r="H61" i="2"/>
  <c r="H61" i="17" s="1"/>
  <c r="H61" i="18" s="1"/>
  <c r="H61" i="19" s="1"/>
  <c r="H61" i="20" s="1"/>
  <c r="H61" i="21" s="1"/>
  <c r="H61" i="22" s="1"/>
  <c r="H61" i="23" s="1"/>
  <c r="H61" i="24" s="1"/>
  <c r="H61" i="25" s="1"/>
  <c r="H61" i="26" s="1"/>
  <c r="H61" i="27" s="1"/>
  <c r="H60" i="2"/>
  <c r="H60" i="17" s="1"/>
  <c r="H59" i="2"/>
  <c r="H59" i="17" s="1"/>
  <c r="H59" i="18" s="1"/>
  <c r="H59" i="19" s="1"/>
  <c r="H59" i="20" s="1"/>
  <c r="H59" i="21" s="1"/>
  <c r="H59" i="22" s="1"/>
  <c r="H59" i="23" s="1"/>
  <c r="H59" i="24" s="1"/>
  <c r="H59" i="25" s="1"/>
  <c r="H59" i="26" s="1"/>
  <c r="H59" i="27" s="1"/>
  <c r="H58" i="2"/>
  <c r="H58" i="17" s="1"/>
  <c r="H58" i="18" s="1"/>
  <c r="H58" i="19" s="1"/>
  <c r="H58" i="20" s="1"/>
  <c r="H58" i="21" s="1"/>
  <c r="H58" i="22" s="1"/>
  <c r="H58" i="23" s="1"/>
  <c r="H58" i="24" s="1"/>
  <c r="H58" i="25" s="1"/>
  <c r="H58" i="26" s="1"/>
  <c r="H58" i="27" s="1"/>
  <c r="H58" i="28" s="1"/>
  <c r="H58" i="29" s="1"/>
  <c r="H58" i="30" s="1"/>
  <c r="H58" i="31" s="1"/>
  <c r="H57" i="2"/>
  <c r="H57" i="17" s="1"/>
  <c r="H57" i="18" s="1"/>
  <c r="H57" i="19" s="1"/>
  <c r="H57" i="20" s="1"/>
  <c r="H57" i="21" s="1"/>
  <c r="H57" i="22" s="1"/>
  <c r="H57" i="23" s="1"/>
  <c r="H57" i="24" s="1"/>
  <c r="H57" i="25" s="1"/>
  <c r="H57" i="26" s="1"/>
  <c r="H57" i="27" s="1"/>
  <c r="H56" i="2"/>
  <c r="H56" i="17" s="1"/>
  <c r="H55" i="2"/>
  <c r="H55" i="17" s="1"/>
  <c r="H55" i="18" s="1"/>
  <c r="H55" i="19" s="1"/>
  <c r="H55" i="20" s="1"/>
  <c r="H55" i="21" s="1"/>
  <c r="H55" i="22" s="1"/>
  <c r="H55" i="23" s="1"/>
  <c r="H55" i="24" s="1"/>
  <c r="H55" i="25" s="1"/>
  <c r="H55" i="26" s="1"/>
  <c r="H55" i="27" s="1"/>
  <c r="H54" i="2"/>
  <c r="H54" i="17" s="1"/>
  <c r="H54" i="18" s="1"/>
  <c r="H54" i="19" s="1"/>
  <c r="H54" i="20" s="1"/>
  <c r="H54" i="21" s="1"/>
  <c r="H54" i="22" s="1"/>
  <c r="H54" i="23" s="1"/>
  <c r="H54" i="24" s="1"/>
  <c r="H54" i="25" s="1"/>
  <c r="H54" i="26" s="1"/>
  <c r="H54" i="27" s="1"/>
  <c r="H54" i="28" s="1"/>
  <c r="H54" i="29" s="1"/>
  <c r="H54" i="30" s="1"/>
  <c r="H54" i="31" s="1"/>
  <c r="H53" i="2"/>
  <c r="H46" i="2"/>
  <c r="H46" i="17" s="1"/>
  <c r="H46" i="18" s="1"/>
  <c r="H46" i="19" s="1"/>
  <c r="H46" i="20" s="1"/>
  <c r="H46" i="21" s="1"/>
  <c r="H46" i="22" s="1"/>
  <c r="H46" i="23" s="1"/>
  <c r="H46" i="24" s="1"/>
  <c r="H46" i="25" s="1"/>
  <c r="H46" i="26" s="1"/>
  <c r="H46" i="27" s="1"/>
  <c r="H46" i="28" s="1"/>
  <c r="H46" i="29" s="1"/>
  <c r="H46" i="30" s="1"/>
  <c r="H46" i="31" s="1"/>
  <c r="H45" i="2"/>
  <c r="H45" i="17" s="1"/>
  <c r="H45" i="18" s="1"/>
  <c r="H45" i="19" s="1"/>
  <c r="H45" i="20" s="1"/>
  <c r="H45" i="21" s="1"/>
  <c r="H45" i="22" s="1"/>
  <c r="H45" i="23" s="1"/>
  <c r="H45" i="24" s="1"/>
  <c r="H45" i="25" s="1"/>
  <c r="H45" i="26" s="1"/>
  <c r="H45" i="27" s="1"/>
  <c r="H45" i="28" s="1"/>
  <c r="H45" i="29" s="1"/>
  <c r="H45" i="30" s="1"/>
  <c r="H45" i="31" s="1"/>
  <c r="H44" i="2"/>
  <c r="H44" i="19" s="1"/>
  <c r="H44" i="20" s="1"/>
  <c r="H44" i="21" s="1"/>
  <c r="H44" i="22" s="1"/>
  <c r="H44" i="23" s="1"/>
  <c r="H44" i="24" s="1"/>
  <c r="H44" i="25" s="1"/>
  <c r="H44" i="26" s="1"/>
  <c r="H44" i="27" s="1"/>
  <c r="H44" i="28" s="1"/>
  <c r="H44" i="29" s="1"/>
  <c r="H44" i="30" s="1"/>
  <c r="H43" i="2"/>
  <c r="H43" i="17" s="1"/>
  <c r="H43" i="18" s="1"/>
  <c r="H43" i="19" s="1"/>
  <c r="H43" i="20" s="1"/>
  <c r="H43" i="21" s="1"/>
  <c r="H43" i="22" s="1"/>
  <c r="H43" i="23" s="1"/>
  <c r="H43" i="24" s="1"/>
  <c r="H43" i="25" s="1"/>
  <c r="H43" i="26" s="1"/>
  <c r="H43" i="27" s="1"/>
  <c r="H43" i="28" s="1"/>
  <c r="H43" i="29" s="1"/>
  <c r="H43" i="30" s="1"/>
  <c r="H43" i="31" s="1"/>
  <c r="H42" i="2"/>
  <c r="H42" i="17" s="1"/>
  <c r="H42" i="18" s="1"/>
  <c r="H42" i="19" s="1"/>
  <c r="H42" i="20" s="1"/>
  <c r="H42" i="21" s="1"/>
  <c r="H42" i="22" s="1"/>
  <c r="H42" i="23" s="1"/>
  <c r="H42" i="24" s="1"/>
  <c r="H42" i="25" s="1"/>
  <c r="H42" i="26" s="1"/>
  <c r="H42" i="27" s="1"/>
  <c r="H42" i="28" s="1"/>
  <c r="H42" i="29" s="1"/>
  <c r="H42" i="30" s="1"/>
  <c r="H42" i="31" s="1"/>
  <c r="H41" i="2"/>
  <c r="H41" i="17" s="1"/>
  <c r="H41" i="18" s="1"/>
  <c r="H41" i="19" s="1"/>
  <c r="H41" i="20" s="1"/>
  <c r="H41" i="21" s="1"/>
  <c r="H41" i="22" s="1"/>
  <c r="H41" i="23" s="1"/>
  <c r="H41" i="24" s="1"/>
  <c r="H41" i="25" s="1"/>
  <c r="H41" i="26" s="1"/>
  <c r="H41" i="27" s="1"/>
  <c r="H41" i="28" s="1"/>
  <c r="H41" i="29" s="1"/>
  <c r="H41" i="30" s="1"/>
  <c r="H41" i="31" s="1"/>
  <c r="H40" i="2"/>
  <c r="H40" i="17" s="1"/>
  <c r="H40" i="18" s="1"/>
  <c r="H40" i="19" s="1"/>
  <c r="H40" i="20" s="1"/>
  <c r="H40" i="21" s="1"/>
  <c r="H40" i="22" s="1"/>
  <c r="H40" i="23" s="1"/>
  <c r="H40" i="24" s="1"/>
  <c r="H40" i="25" s="1"/>
  <c r="H40" i="26" s="1"/>
  <c r="H40" i="27" s="1"/>
  <c r="H40" i="28" s="1"/>
  <c r="H40" i="29" s="1"/>
  <c r="H40" i="30" s="1"/>
  <c r="H40" i="31" s="1"/>
  <c r="H39" i="2"/>
  <c r="H39" i="17" s="1"/>
  <c r="H39" i="20" s="1"/>
  <c r="H39" i="21" s="1"/>
  <c r="H39" i="22" s="1"/>
  <c r="H39" i="23" s="1"/>
  <c r="H39" i="24" s="1"/>
  <c r="H39" i="25" s="1"/>
  <c r="H39" i="26" s="1"/>
  <c r="H39" i="27" s="1"/>
  <c r="H39" i="28" s="1"/>
  <c r="H39" i="29" s="1"/>
  <c r="H39" i="30" s="1"/>
  <c r="H39" i="31" s="1"/>
  <c r="H38" i="2"/>
  <c r="H38" i="17" s="1"/>
  <c r="H38" i="20" s="1"/>
  <c r="H38" i="21" s="1"/>
  <c r="H38" i="22" s="1"/>
  <c r="H38" i="23" s="1"/>
  <c r="H38" i="24" s="1"/>
  <c r="H38" i="25" s="1"/>
  <c r="H38" i="26" s="1"/>
  <c r="H38" i="27" s="1"/>
  <c r="H38" i="28" s="1"/>
  <c r="H38" i="29" s="1"/>
  <c r="H38" i="30" s="1"/>
  <c r="H38" i="31" s="1"/>
  <c r="H37" i="2"/>
  <c r="H37" i="17" s="1"/>
  <c r="H37" i="18" s="1"/>
  <c r="H37" i="19" s="1"/>
  <c r="H37" i="20" s="1"/>
  <c r="H37" i="21" s="1"/>
  <c r="H37" i="22" s="1"/>
  <c r="H37" i="23" s="1"/>
  <c r="H37" i="24" s="1"/>
  <c r="H37" i="25" s="1"/>
  <c r="H37" i="26" s="1"/>
  <c r="H37" i="27" s="1"/>
  <c r="H37" i="28" s="1"/>
  <c r="H37" i="29" s="1"/>
  <c r="H37" i="30" s="1"/>
  <c r="H37" i="31" s="1"/>
  <c r="H36" i="2"/>
  <c r="H36" i="17" s="1"/>
  <c r="H36" i="18" s="1"/>
  <c r="H36" i="19" s="1"/>
  <c r="H36" i="20" s="1"/>
  <c r="H36" i="21" s="1"/>
  <c r="H36" i="22" s="1"/>
  <c r="H36" i="23" s="1"/>
  <c r="H36" i="24" s="1"/>
  <c r="H36" i="25" s="1"/>
  <c r="H36" i="26" s="1"/>
  <c r="H36" i="27" s="1"/>
  <c r="H36" i="28" s="1"/>
  <c r="H36" i="29" s="1"/>
  <c r="H36" i="30" s="1"/>
  <c r="H36" i="31" s="1"/>
  <c r="H35" i="2"/>
  <c r="H35" i="17" s="1"/>
  <c r="H35" i="18" s="1"/>
  <c r="H35" i="19" s="1"/>
  <c r="H35" i="20" s="1"/>
  <c r="H35" i="21" s="1"/>
  <c r="H35" i="22" s="1"/>
  <c r="H35" i="23" s="1"/>
  <c r="H35" i="24" s="1"/>
  <c r="H35" i="25" s="1"/>
  <c r="H35" i="26" s="1"/>
  <c r="H35" i="27" s="1"/>
  <c r="H35" i="28" s="1"/>
  <c r="H35" i="29" s="1"/>
  <c r="H35" i="30" s="1"/>
  <c r="H35" i="31" s="1"/>
  <c r="H34" i="2"/>
  <c r="H34" i="17" s="1"/>
  <c r="H34" i="19" s="1"/>
  <c r="H34" i="20" s="1"/>
  <c r="H34" i="21" s="1"/>
  <c r="H34" i="22" s="1"/>
  <c r="H34" i="23" s="1"/>
  <c r="H34" i="24" s="1"/>
  <c r="H34" i="25" s="1"/>
  <c r="H34" i="26" s="1"/>
  <c r="H34" i="27" s="1"/>
  <c r="H34" i="28" s="1"/>
  <c r="H34" i="29" s="1"/>
  <c r="H34" i="30" s="1"/>
  <c r="H34" i="31" s="1"/>
  <c r="H33" i="2"/>
  <c r="H33" i="17" s="1"/>
  <c r="H33" i="18" s="1"/>
  <c r="H33" i="19" s="1"/>
  <c r="H33" i="20" s="1"/>
  <c r="H33" i="21" s="1"/>
  <c r="H33" i="22" s="1"/>
  <c r="H33" i="23" s="1"/>
  <c r="H33" i="24" s="1"/>
  <c r="H33" i="25" s="1"/>
  <c r="H33" i="26" s="1"/>
  <c r="H33" i="27" s="1"/>
  <c r="H33" i="28" s="1"/>
  <c r="H33" i="29" s="1"/>
  <c r="H33" i="30" s="1"/>
  <c r="H33" i="31" s="1"/>
  <c r="H32" i="2"/>
  <c r="H32" i="17" s="1"/>
  <c r="H32" i="18" s="1"/>
  <c r="H32" i="19" s="1"/>
  <c r="H32" i="20" s="1"/>
  <c r="H32" i="21" s="1"/>
  <c r="H32" i="22" s="1"/>
  <c r="H32" i="23" s="1"/>
  <c r="H32" i="24" s="1"/>
  <c r="H32" i="25" s="1"/>
  <c r="H32" i="26" s="1"/>
  <c r="H32" i="27" s="1"/>
  <c r="H32" i="28" s="1"/>
  <c r="H32" i="29" s="1"/>
  <c r="H32" i="30" s="1"/>
  <c r="H32" i="31" s="1"/>
  <c r="H31" i="2"/>
  <c r="H31" i="17" s="1"/>
  <c r="H31" i="19" s="1"/>
  <c r="H31" i="20" s="1"/>
  <c r="H31" i="21" s="1"/>
  <c r="H31" i="22" s="1"/>
  <c r="H31" i="23" s="1"/>
  <c r="H31" i="24" s="1"/>
  <c r="H31" i="25" s="1"/>
  <c r="H31" i="26" s="1"/>
  <c r="H31" i="27" s="1"/>
  <c r="H31" i="28" s="1"/>
  <c r="H31" i="29" s="1"/>
  <c r="H31" i="30" s="1"/>
  <c r="H31" i="31" s="1"/>
  <c r="H30" i="2"/>
  <c r="H30" i="17" s="1"/>
  <c r="H30" i="18" s="1"/>
  <c r="H30" i="19" s="1"/>
  <c r="H30" i="20" s="1"/>
  <c r="H30" i="21" s="1"/>
  <c r="H30" i="22" s="1"/>
  <c r="H30" i="23" s="1"/>
  <c r="H30" i="24" s="1"/>
  <c r="H30" i="25" s="1"/>
  <c r="H30" i="26" s="1"/>
  <c r="H30" i="27" s="1"/>
  <c r="H30" i="28" s="1"/>
  <c r="H30" i="29" s="1"/>
  <c r="H30" i="30" s="1"/>
  <c r="H30" i="31" s="1"/>
  <c r="H29" i="2"/>
  <c r="H29" i="17" s="1"/>
  <c r="H29" i="18" s="1"/>
  <c r="H29" i="19" s="1"/>
  <c r="H29" i="20" s="1"/>
  <c r="H29" i="21" s="1"/>
  <c r="H29" i="22" s="1"/>
  <c r="H29" i="23" s="1"/>
  <c r="H29" i="24" s="1"/>
  <c r="H29" i="25" s="1"/>
  <c r="H29" i="26" s="1"/>
  <c r="H29" i="27" s="1"/>
  <c r="H29" i="28" s="1"/>
  <c r="H29" i="29" s="1"/>
  <c r="H29" i="30" s="1"/>
  <c r="H29" i="31" s="1"/>
  <c r="H28" i="2"/>
  <c r="H28" i="17" s="1"/>
  <c r="H28" i="18" s="1"/>
  <c r="H28" i="19" s="1"/>
  <c r="H28" i="20" s="1"/>
  <c r="H28" i="21" s="1"/>
  <c r="H28" i="22" s="1"/>
  <c r="H28" i="23" s="1"/>
  <c r="H28" i="24" s="1"/>
  <c r="H28" i="25" s="1"/>
  <c r="H28" i="26" s="1"/>
  <c r="H28" i="27" s="1"/>
  <c r="H28" i="28" s="1"/>
  <c r="H28" i="29" s="1"/>
  <c r="H28" i="30" s="1"/>
  <c r="H28" i="31" s="1"/>
  <c r="H27" i="2"/>
  <c r="H27" i="17" s="1"/>
  <c r="H27" i="18" s="1"/>
  <c r="H27" i="19" s="1"/>
  <c r="H27" i="20" s="1"/>
  <c r="H27" i="21" s="1"/>
  <c r="H27" i="22" s="1"/>
  <c r="H27" i="23" s="1"/>
  <c r="H27" i="24" s="1"/>
  <c r="H27" i="25" s="1"/>
  <c r="H27" i="26" s="1"/>
  <c r="H27" i="27" s="1"/>
  <c r="H27" i="28" s="1"/>
  <c r="H27" i="29" s="1"/>
  <c r="H27" i="30" s="1"/>
  <c r="H27" i="31" s="1"/>
  <c r="H26" i="2"/>
  <c r="H26" i="17" s="1"/>
  <c r="H26" i="18" s="1"/>
  <c r="H26" i="19" s="1"/>
  <c r="H26" i="20" s="1"/>
  <c r="H26" i="21" s="1"/>
  <c r="H26" i="22" s="1"/>
  <c r="H26" i="23" s="1"/>
  <c r="H26" i="24" s="1"/>
  <c r="H26" i="25" s="1"/>
  <c r="H26" i="26" s="1"/>
  <c r="H26" i="27" s="1"/>
  <c r="H26" i="28" s="1"/>
  <c r="H26" i="29" s="1"/>
  <c r="H26" i="30" s="1"/>
  <c r="H26" i="31" s="1"/>
  <c r="H25" i="2"/>
  <c r="H25" i="17" s="1"/>
  <c r="H25" i="18" s="1"/>
  <c r="H25" i="19" s="1"/>
  <c r="H25" i="20" s="1"/>
  <c r="H25" i="21" s="1"/>
  <c r="H25" i="22" s="1"/>
  <c r="H25" i="23" s="1"/>
  <c r="H25" i="24" s="1"/>
  <c r="H25" i="25" s="1"/>
  <c r="H25" i="26" s="1"/>
  <c r="H25" i="27" s="1"/>
  <c r="H25" i="28" s="1"/>
  <c r="H25" i="29" s="1"/>
  <c r="H25" i="30" s="1"/>
  <c r="H25" i="31" s="1"/>
  <c r="H24" i="2"/>
  <c r="H24" i="17" s="1"/>
  <c r="H24" i="18" s="1"/>
  <c r="H24" i="19" s="1"/>
  <c r="H24" i="20" s="1"/>
  <c r="H24" i="21" s="1"/>
  <c r="H24" i="22" s="1"/>
  <c r="H24" i="23" s="1"/>
  <c r="H24" i="24" s="1"/>
  <c r="H24" i="25" s="1"/>
  <c r="H24" i="26" s="1"/>
  <c r="H24" i="27" s="1"/>
  <c r="H24" i="28" s="1"/>
  <c r="H24" i="29" s="1"/>
  <c r="H24" i="30" s="1"/>
  <c r="H24" i="31" s="1"/>
  <c r="H23" i="2"/>
  <c r="H23" i="17" s="1"/>
  <c r="H23" i="18" s="1"/>
  <c r="H23" i="19" s="1"/>
  <c r="H23" i="20" s="1"/>
  <c r="H23" i="21" s="1"/>
  <c r="H23" i="22" s="1"/>
  <c r="H23" i="23" s="1"/>
  <c r="H23" i="24" s="1"/>
  <c r="H23" i="25" s="1"/>
  <c r="H23" i="26" s="1"/>
  <c r="H23" i="27" s="1"/>
  <c r="H23" i="28" s="1"/>
  <c r="H23" i="29" s="1"/>
  <c r="H23" i="30" s="1"/>
  <c r="H23" i="31" s="1"/>
  <c r="H22" i="2"/>
  <c r="H22" i="17" s="1"/>
  <c r="H22" i="18" s="1"/>
  <c r="H22" i="19" s="1"/>
  <c r="H22" i="20" s="1"/>
  <c r="H22" i="21" s="1"/>
  <c r="H22" i="22" s="1"/>
  <c r="H22" i="23" s="1"/>
  <c r="H22" i="24" s="1"/>
  <c r="H22" i="25" s="1"/>
  <c r="H22" i="26" s="1"/>
  <c r="H22" i="27" s="1"/>
  <c r="H22" i="28" s="1"/>
  <c r="H22" i="29" s="1"/>
  <c r="H22" i="30" s="1"/>
  <c r="H22" i="31" s="1"/>
  <c r="H21" i="2"/>
  <c r="H21" i="20" s="1"/>
  <c r="H21" i="21" s="1"/>
  <c r="H21" i="22" s="1"/>
  <c r="H21" i="23" s="1"/>
  <c r="H21" i="24" s="1"/>
  <c r="H21" i="25" s="1"/>
  <c r="H21" i="26" s="1"/>
  <c r="H21" i="27" s="1"/>
  <c r="H21" i="28" s="1"/>
  <c r="H21" i="29" s="1"/>
  <c r="H21" i="30" s="1"/>
  <c r="H21" i="31" s="1"/>
  <c r="H20" i="2"/>
  <c r="H20" i="17" s="1"/>
  <c r="H20" i="18" s="1"/>
  <c r="H20" i="19" s="1"/>
  <c r="H20" i="20" s="1"/>
  <c r="H20" i="21" s="1"/>
  <c r="H20" i="22" s="1"/>
  <c r="H20" i="23" s="1"/>
  <c r="H20" i="24" s="1"/>
  <c r="H20" i="25" s="1"/>
  <c r="H20" i="26" s="1"/>
  <c r="H20" i="27" s="1"/>
  <c r="H20" i="28" s="1"/>
  <c r="H20" i="29" s="1"/>
  <c r="H20" i="30" s="1"/>
  <c r="H20" i="31" s="1"/>
  <c r="H19" i="2"/>
  <c r="H19" i="20" s="1"/>
  <c r="H19" i="21" s="1"/>
  <c r="H19" i="22" s="1"/>
  <c r="H19" i="23" s="1"/>
  <c r="H19" i="24" s="1"/>
  <c r="H19" i="25" s="1"/>
  <c r="H19" i="26" s="1"/>
  <c r="H19" i="27" s="1"/>
  <c r="H19" i="28" s="1"/>
  <c r="H19" i="29" s="1"/>
  <c r="H19" i="30" s="1"/>
  <c r="H19" i="31" s="1"/>
  <c r="H18" i="2"/>
  <c r="H18" i="17" s="1"/>
  <c r="H18" i="18" s="1"/>
  <c r="H18" i="19" s="1"/>
  <c r="H18" i="20" s="1"/>
  <c r="H18" i="21" s="1"/>
  <c r="H18" i="22" s="1"/>
  <c r="H18" i="23" s="1"/>
  <c r="H18" i="24" s="1"/>
  <c r="H18" i="25" s="1"/>
  <c r="H18" i="26" s="1"/>
  <c r="H18" i="27" s="1"/>
  <c r="H18" i="28" s="1"/>
  <c r="H18" i="29" s="1"/>
  <c r="H18" i="30" s="1"/>
  <c r="H18" i="31" s="1"/>
  <c r="H17" i="2"/>
  <c r="L103" i="32"/>
  <c r="I82" i="32"/>
  <c r="L82" i="32" s="1"/>
  <c r="I81" i="32"/>
  <c r="L81" i="32" s="1"/>
  <c r="I80" i="32"/>
  <c r="L80" i="32" s="1"/>
  <c r="I79" i="32"/>
  <c r="L79" i="32" s="1"/>
  <c r="I78" i="32"/>
  <c r="L78" i="32" s="1"/>
  <c r="I77" i="32"/>
  <c r="L77" i="32" s="1"/>
  <c r="I76" i="32"/>
  <c r="L76" i="32" s="1"/>
  <c r="I75" i="32"/>
  <c r="L75" i="32" s="1"/>
  <c r="I74" i="32"/>
  <c r="L74" i="32" s="1"/>
  <c r="I73" i="32"/>
  <c r="L73" i="32" s="1"/>
  <c r="I72" i="32"/>
  <c r="L72" i="32" s="1"/>
  <c r="I71" i="32"/>
  <c r="L71" i="32" s="1"/>
  <c r="I70" i="32"/>
  <c r="L70" i="32" s="1"/>
  <c r="I69" i="32"/>
  <c r="L69" i="32" s="1"/>
  <c r="I68" i="32"/>
  <c r="L68" i="32" s="1"/>
  <c r="I67" i="32"/>
  <c r="L67" i="32" s="1"/>
  <c r="I66" i="32"/>
  <c r="L66" i="32" s="1"/>
  <c r="I65" i="32"/>
  <c r="L65" i="32" s="1"/>
  <c r="I64" i="32"/>
  <c r="L64" i="32" s="1"/>
  <c r="I63" i="32"/>
  <c r="L63" i="32" s="1"/>
  <c r="I62" i="32"/>
  <c r="L62" i="32" s="1"/>
  <c r="I61" i="32"/>
  <c r="L61" i="32" s="1"/>
  <c r="I60" i="32"/>
  <c r="L60" i="32" s="1"/>
  <c r="I59" i="32"/>
  <c r="L59" i="32" s="1"/>
  <c r="I58" i="32"/>
  <c r="L58" i="32" s="1"/>
  <c r="I57" i="32"/>
  <c r="L57" i="32" s="1"/>
  <c r="I56" i="32"/>
  <c r="L56" i="32" s="1"/>
  <c r="I55" i="32"/>
  <c r="L55" i="32" s="1"/>
  <c r="I54" i="32"/>
  <c r="L54" i="32" s="1"/>
  <c r="I53" i="32"/>
  <c r="L53" i="32" s="1"/>
  <c r="K47" i="32"/>
  <c r="K83" i="32" s="1"/>
  <c r="J47" i="32"/>
  <c r="J83" i="32" s="1"/>
  <c r="H47" i="32"/>
  <c r="H83" i="32" s="1"/>
  <c r="G47" i="32"/>
  <c r="G83" i="32" s="1"/>
  <c r="I46" i="32"/>
  <c r="L46" i="32" s="1"/>
  <c r="I45" i="32"/>
  <c r="L45" i="32" s="1"/>
  <c r="I44" i="32"/>
  <c r="L44" i="32" s="1"/>
  <c r="I43" i="32"/>
  <c r="L43" i="32" s="1"/>
  <c r="I42" i="32"/>
  <c r="L42" i="32" s="1"/>
  <c r="I41" i="32"/>
  <c r="L41" i="32" s="1"/>
  <c r="I40" i="32"/>
  <c r="L40" i="32" s="1"/>
  <c r="I39" i="32"/>
  <c r="L39" i="32" s="1"/>
  <c r="I38" i="32"/>
  <c r="L38" i="32" s="1"/>
  <c r="I37" i="32"/>
  <c r="L37" i="32" s="1"/>
  <c r="I36" i="32"/>
  <c r="L36" i="32" s="1"/>
  <c r="I35" i="32"/>
  <c r="L35" i="32" s="1"/>
  <c r="I34" i="32"/>
  <c r="L34" i="32" s="1"/>
  <c r="I33" i="32"/>
  <c r="L33" i="32" s="1"/>
  <c r="I32" i="32"/>
  <c r="L32" i="32" s="1"/>
  <c r="I31" i="32"/>
  <c r="L31" i="32" s="1"/>
  <c r="I30" i="32"/>
  <c r="L30" i="32" s="1"/>
  <c r="I29" i="32"/>
  <c r="L29" i="32" s="1"/>
  <c r="I28" i="32"/>
  <c r="L28" i="32" s="1"/>
  <c r="I27" i="32"/>
  <c r="L27" i="32" s="1"/>
  <c r="I26" i="32"/>
  <c r="L26" i="32" s="1"/>
  <c r="I25" i="32"/>
  <c r="L25" i="32" s="1"/>
  <c r="I24" i="32"/>
  <c r="L24" i="32" s="1"/>
  <c r="I23" i="32"/>
  <c r="L23" i="32" s="1"/>
  <c r="I22" i="32"/>
  <c r="L22" i="32" s="1"/>
  <c r="I21" i="32"/>
  <c r="L21" i="32" s="1"/>
  <c r="I20" i="32"/>
  <c r="L20" i="32" s="1"/>
  <c r="I19" i="32"/>
  <c r="L19" i="32" s="1"/>
  <c r="I18" i="32"/>
  <c r="L18" i="32" s="1"/>
  <c r="I17" i="32"/>
  <c r="C13" i="32"/>
  <c r="D92" i="32"/>
  <c r="K47" i="31"/>
  <c r="K83" i="31" s="1"/>
  <c r="K47" i="30"/>
  <c r="K83" i="30" s="1"/>
  <c r="K47" i="29"/>
  <c r="K83" i="29" s="1"/>
  <c r="K47" i="28"/>
  <c r="K83" i="28" s="1"/>
  <c r="K47" i="27"/>
  <c r="K83" i="27" s="1"/>
  <c r="K47" i="26"/>
  <c r="K83" i="26" s="1"/>
  <c r="K47" i="25"/>
  <c r="K83" i="25" s="1"/>
  <c r="K47" i="22"/>
  <c r="K83" i="22" s="1"/>
  <c r="K47" i="21"/>
  <c r="K83" i="21" s="1"/>
  <c r="K47" i="20"/>
  <c r="K83" i="20" s="1"/>
  <c r="K47" i="19"/>
  <c r="K83" i="19" s="1"/>
  <c r="K47" i="18"/>
  <c r="K83" i="18" s="1"/>
  <c r="C13" i="2"/>
  <c r="B12" i="2"/>
  <c r="B11" i="2"/>
  <c r="H75" i="17"/>
  <c r="H75" i="18" s="1"/>
  <c r="H75" i="19" s="1"/>
  <c r="H75" i="20" s="1"/>
  <c r="H75" i="21" s="1"/>
  <c r="H75" i="22" s="1"/>
  <c r="H75" i="23" s="1"/>
  <c r="H75" i="24" s="1"/>
  <c r="H75" i="25" s="1"/>
  <c r="H75" i="26" s="1"/>
  <c r="H75" i="27" s="1"/>
  <c r="H75" i="28" s="1"/>
  <c r="H75" i="29" s="1"/>
  <c r="H75" i="30" s="1"/>
  <c r="H75" i="31" s="1"/>
  <c r="H53" i="17"/>
  <c r="H53" i="18" s="1"/>
  <c r="H53" i="19" s="1"/>
  <c r="H53" i="20" s="1"/>
  <c r="H53" i="21" s="1"/>
  <c r="H53" i="22" s="1"/>
  <c r="H53" i="23" s="1"/>
  <c r="H53" i="24" s="1"/>
  <c r="H53" i="25" s="1"/>
  <c r="H53" i="26" s="1"/>
  <c r="H53" i="27" s="1"/>
  <c r="K47" i="17"/>
  <c r="K83" i="17" s="1"/>
  <c r="B12" i="1"/>
  <c r="J19" i="31" l="1"/>
  <c r="J31" i="31"/>
  <c r="J45" i="31"/>
  <c r="H44" i="31"/>
  <c r="J20" i="31"/>
  <c r="I71" i="17"/>
  <c r="I59" i="17"/>
  <c r="L59" i="17" s="1"/>
  <c r="I75" i="17"/>
  <c r="I69" i="17"/>
  <c r="L69" i="17" s="1"/>
  <c r="H67" i="18"/>
  <c r="H67" i="19" s="1"/>
  <c r="H67" i="20" s="1"/>
  <c r="H67" i="21" s="1"/>
  <c r="H67" i="22" s="1"/>
  <c r="H67" i="23" s="1"/>
  <c r="H67" i="24" s="1"/>
  <c r="H67" i="25" s="1"/>
  <c r="H67" i="26" s="1"/>
  <c r="H67" i="27" s="1"/>
  <c r="H67" i="28" s="1"/>
  <c r="I67" i="17"/>
  <c r="L67" i="17" s="1"/>
  <c r="I57" i="17"/>
  <c r="L57" i="17" s="1"/>
  <c r="I61" i="17"/>
  <c r="L61" i="17" s="1"/>
  <c r="I65" i="17"/>
  <c r="L65" i="17" s="1"/>
  <c r="I73" i="17"/>
  <c r="L73" i="17" s="1"/>
  <c r="I77" i="17"/>
  <c r="L77" i="17" s="1"/>
  <c r="I81" i="17"/>
  <c r="L81" i="17" s="1"/>
  <c r="I20" i="17"/>
  <c r="L20" i="17" s="1"/>
  <c r="I24" i="17"/>
  <c r="L24" i="17" s="1"/>
  <c r="I28" i="17"/>
  <c r="L28" i="17" s="1"/>
  <c r="I36" i="17"/>
  <c r="L36" i="17" s="1"/>
  <c r="I40" i="17"/>
  <c r="L40" i="17" s="1"/>
  <c r="I44" i="17"/>
  <c r="L44" i="17" s="1"/>
  <c r="I54" i="17"/>
  <c r="I58" i="17"/>
  <c r="I62" i="17"/>
  <c r="I66" i="17"/>
  <c r="L66" i="17" s="1"/>
  <c r="I70" i="17"/>
  <c r="L70" i="17" s="1"/>
  <c r="I74" i="17"/>
  <c r="L74" i="17" s="1"/>
  <c r="I78" i="17"/>
  <c r="I82" i="17"/>
  <c r="L82" i="17" s="1"/>
  <c r="I63" i="17"/>
  <c r="I79" i="17"/>
  <c r="I32" i="17"/>
  <c r="L32" i="17" s="1"/>
  <c r="G47" i="25"/>
  <c r="G83" i="25" s="1"/>
  <c r="G47" i="26"/>
  <c r="G83" i="26" s="1"/>
  <c r="G47" i="21"/>
  <c r="G83" i="21" s="1"/>
  <c r="H56" i="18"/>
  <c r="H56" i="19" s="1"/>
  <c r="H56" i="20" s="1"/>
  <c r="H56" i="21" s="1"/>
  <c r="H56" i="22" s="1"/>
  <c r="H56" i="23" s="1"/>
  <c r="H56" i="24" s="1"/>
  <c r="H56" i="25" s="1"/>
  <c r="H56" i="26" s="1"/>
  <c r="H56" i="27" s="1"/>
  <c r="H56" i="28" s="1"/>
  <c r="H56" i="29" s="1"/>
  <c r="H56" i="30" s="1"/>
  <c r="H56" i="31" s="1"/>
  <c r="I56" i="17"/>
  <c r="H60" i="18"/>
  <c r="H60" i="19" s="1"/>
  <c r="H60" i="20" s="1"/>
  <c r="H60" i="21" s="1"/>
  <c r="H60" i="22" s="1"/>
  <c r="H60" i="23" s="1"/>
  <c r="H60" i="24" s="1"/>
  <c r="H60" i="25" s="1"/>
  <c r="H60" i="26" s="1"/>
  <c r="H60" i="27" s="1"/>
  <c r="H60" i="28" s="1"/>
  <c r="H60" i="29" s="1"/>
  <c r="H60" i="30" s="1"/>
  <c r="H60" i="31" s="1"/>
  <c r="I60" i="17"/>
  <c r="L60" i="17" s="1"/>
  <c r="H64" i="18"/>
  <c r="H64" i="19" s="1"/>
  <c r="H64" i="20" s="1"/>
  <c r="H64" i="21" s="1"/>
  <c r="H64" i="22" s="1"/>
  <c r="H64" i="23" s="1"/>
  <c r="H64" i="24" s="1"/>
  <c r="H64" i="25" s="1"/>
  <c r="H64" i="26" s="1"/>
  <c r="H64" i="27" s="1"/>
  <c r="H64" i="28" s="1"/>
  <c r="H64" i="29" s="1"/>
  <c r="H64" i="30" s="1"/>
  <c r="H64" i="31" s="1"/>
  <c r="I64" i="17"/>
  <c r="L64" i="17" s="1"/>
  <c r="H68" i="18"/>
  <c r="H68" i="19" s="1"/>
  <c r="H68" i="20" s="1"/>
  <c r="H68" i="21" s="1"/>
  <c r="H68" i="22" s="1"/>
  <c r="H68" i="23" s="1"/>
  <c r="H68" i="24" s="1"/>
  <c r="H68" i="25" s="1"/>
  <c r="H68" i="26" s="1"/>
  <c r="H68" i="27" s="1"/>
  <c r="H68" i="28" s="1"/>
  <c r="H68" i="29" s="1"/>
  <c r="H68" i="30" s="1"/>
  <c r="H68" i="31" s="1"/>
  <c r="I68" i="31" s="1"/>
  <c r="L68" i="31" s="1"/>
  <c r="I68" i="17"/>
  <c r="L68" i="17" s="1"/>
  <c r="H72" i="18"/>
  <c r="H72" i="19" s="1"/>
  <c r="H72" i="20" s="1"/>
  <c r="H72" i="21" s="1"/>
  <c r="H72" i="22" s="1"/>
  <c r="H72" i="23" s="1"/>
  <c r="H72" i="24" s="1"/>
  <c r="H72" i="25" s="1"/>
  <c r="H72" i="26" s="1"/>
  <c r="H72" i="27" s="1"/>
  <c r="H72" i="28" s="1"/>
  <c r="H72" i="29" s="1"/>
  <c r="H72" i="30" s="1"/>
  <c r="H72" i="31" s="1"/>
  <c r="I72" i="17"/>
  <c r="L72" i="17" s="1"/>
  <c r="H76" i="18"/>
  <c r="H76" i="19" s="1"/>
  <c r="H76" i="20" s="1"/>
  <c r="H76" i="21" s="1"/>
  <c r="H76" i="22" s="1"/>
  <c r="H76" i="23" s="1"/>
  <c r="H76" i="24" s="1"/>
  <c r="H76" i="25" s="1"/>
  <c r="H76" i="26" s="1"/>
  <c r="H76" i="27" s="1"/>
  <c r="H76" i="28" s="1"/>
  <c r="H76" i="29" s="1"/>
  <c r="H76" i="30" s="1"/>
  <c r="H76" i="31" s="1"/>
  <c r="I76" i="17"/>
  <c r="L76" i="17" s="1"/>
  <c r="H80" i="18"/>
  <c r="H80" i="19" s="1"/>
  <c r="H80" i="20" s="1"/>
  <c r="H80" i="21" s="1"/>
  <c r="H80" i="22" s="1"/>
  <c r="H80" i="23" s="1"/>
  <c r="H80" i="24" s="1"/>
  <c r="H80" i="25" s="1"/>
  <c r="H80" i="26" s="1"/>
  <c r="H80" i="27" s="1"/>
  <c r="H80" i="28" s="1"/>
  <c r="H80" i="29" s="1"/>
  <c r="H80" i="30" s="1"/>
  <c r="H80" i="31" s="1"/>
  <c r="I80" i="17"/>
  <c r="L80" i="17" s="1"/>
  <c r="H47" i="2"/>
  <c r="H83" i="2" s="1"/>
  <c r="I53" i="17"/>
  <c r="L53" i="17" s="1"/>
  <c r="L63" i="17"/>
  <c r="L71" i="17"/>
  <c r="L75" i="17"/>
  <c r="L79" i="17"/>
  <c r="I18" i="17"/>
  <c r="L18" i="17" s="1"/>
  <c r="I22" i="17"/>
  <c r="L22" i="17" s="1"/>
  <c r="I26" i="17"/>
  <c r="L26" i="17" s="1"/>
  <c r="I30" i="17"/>
  <c r="L30" i="17" s="1"/>
  <c r="I34" i="17"/>
  <c r="L34" i="17" s="1"/>
  <c r="I38" i="17"/>
  <c r="L38" i="17" s="1"/>
  <c r="I42" i="17"/>
  <c r="L42" i="17" s="1"/>
  <c r="I46" i="17"/>
  <c r="L46" i="17" s="1"/>
  <c r="I47" i="32"/>
  <c r="I83" i="32" s="1"/>
  <c r="L17" i="32"/>
  <c r="L47" i="32" s="1"/>
  <c r="L83" i="32" s="1"/>
  <c r="G47" i="2"/>
  <c r="G83" i="2" s="1"/>
  <c r="I55" i="17"/>
  <c r="L55" i="17" s="1"/>
  <c r="G47" i="30"/>
  <c r="G83" i="30" s="1"/>
  <c r="G47" i="18"/>
  <c r="G83" i="18" s="1"/>
  <c r="G47" i="20"/>
  <c r="G83" i="20" s="1"/>
  <c r="G47" i="24"/>
  <c r="G83" i="24" s="1"/>
  <c r="G47" i="27"/>
  <c r="G83" i="27" s="1"/>
  <c r="G47" i="28"/>
  <c r="G83" i="28" s="1"/>
  <c r="G47" i="22"/>
  <c r="G83" i="22" s="1"/>
  <c r="J47" i="19"/>
  <c r="J83" i="19" s="1"/>
  <c r="J17" i="20"/>
  <c r="J47" i="17"/>
  <c r="J83" i="17" s="1"/>
  <c r="L54" i="17"/>
  <c r="L56" i="17"/>
  <c r="L58" i="17"/>
  <c r="L62" i="17"/>
  <c r="L78" i="17"/>
  <c r="G47" i="17"/>
  <c r="G83" i="17" s="1"/>
  <c r="H53" i="28"/>
  <c r="H53" i="29" s="1"/>
  <c r="H53" i="30" s="1"/>
  <c r="H55" i="28"/>
  <c r="H55" i="29" s="1"/>
  <c r="H55" i="30" s="1"/>
  <c r="H57" i="28"/>
  <c r="H57" i="29" s="1"/>
  <c r="H57" i="30" s="1"/>
  <c r="H59" i="28"/>
  <c r="H59" i="29" s="1"/>
  <c r="H59" i="30" s="1"/>
  <c r="H61" i="28"/>
  <c r="H61" i="29" s="1"/>
  <c r="H61" i="30" s="1"/>
  <c r="H63" i="28"/>
  <c r="H63" i="29" s="1"/>
  <c r="H63" i="30" s="1"/>
  <c r="H65" i="28"/>
  <c r="H65" i="29" s="1"/>
  <c r="H65" i="30" s="1"/>
  <c r="H69" i="28"/>
  <c r="H69" i="29" s="1"/>
  <c r="H69" i="30" s="1"/>
  <c r="H71" i="28"/>
  <c r="H71" i="29" s="1"/>
  <c r="H71" i="30" s="1"/>
  <c r="H73" i="28"/>
  <c r="H73" i="29" s="1"/>
  <c r="H73" i="30" s="1"/>
  <c r="I53" i="18"/>
  <c r="L53" i="18" s="1"/>
  <c r="I54" i="18"/>
  <c r="L54" i="18" s="1"/>
  <c r="I55" i="18"/>
  <c r="L55" i="18" s="1"/>
  <c r="I57" i="18"/>
  <c r="L57" i="18" s="1"/>
  <c r="I58" i="18"/>
  <c r="L58" i="18" s="1"/>
  <c r="I59" i="18"/>
  <c r="L59" i="18" s="1"/>
  <c r="I60" i="18"/>
  <c r="L60" i="18" s="1"/>
  <c r="I61" i="18"/>
  <c r="L61" i="18" s="1"/>
  <c r="I62" i="18"/>
  <c r="L62" i="18" s="1"/>
  <c r="I63" i="18"/>
  <c r="L63" i="18" s="1"/>
  <c r="I64" i="18"/>
  <c r="L64" i="18" s="1"/>
  <c r="I65" i="18"/>
  <c r="L65" i="18" s="1"/>
  <c r="I66" i="18"/>
  <c r="L66" i="18" s="1"/>
  <c r="I67" i="18"/>
  <c r="L67" i="18" s="1"/>
  <c r="I69" i="18"/>
  <c r="L69" i="18" s="1"/>
  <c r="I70" i="18"/>
  <c r="L70" i="18" s="1"/>
  <c r="I71" i="18"/>
  <c r="L71" i="18" s="1"/>
  <c r="I73" i="18"/>
  <c r="L73" i="18" s="1"/>
  <c r="I74" i="18"/>
  <c r="L74" i="18" s="1"/>
  <c r="I75" i="18"/>
  <c r="L75" i="18" s="1"/>
  <c r="I76" i="18"/>
  <c r="L76" i="18" s="1"/>
  <c r="I77" i="18"/>
  <c r="L77" i="18" s="1"/>
  <c r="I78" i="18"/>
  <c r="L78" i="18" s="1"/>
  <c r="I79" i="18"/>
  <c r="L79" i="18" s="1"/>
  <c r="I80" i="18"/>
  <c r="L80" i="18" s="1"/>
  <c r="I81" i="18"/>
  <c r="L81" i="18" s="1"/>
  <c r="I82" i="18"/>
  <c r="L82" i="18" s="1"/>
  <c r="I53" i="20"/>
  <c r="L53" i="20" s="1"/>
  <c r="I54" i="20"/>
  <c r="L54" i="20" s="1"/>
  <c r="I55" i="20"/>
  <c r="L55" i="20" s="1"/>
  <c r="I56" i="20"/>
  <c r="L56" i="20" s="1"/>
  <c r="I57" i="20"/>
  <c r="L57" i="20" s="1"/>
  <c r="I58" i="20"/>
  <c r="L58" i="20" s="1"/>
  <c r="I59" i="20"/>
  <c r="L59" i="20" s="1"/>
  <c r="I60" i="20"/>
  <c r="L60" i="20" s="1"/>
  <c r="I61" i="20"/>
  <c r="L61" i="20" s="1"/>
  <c r="I62" i="20"/>
  <c r="L62" i="20" s="1"/>
  <c r="I63" i="20"/>
  <c r="L63" i="20" s="1"/>
  <c r="I64" i="20"/>
  <c r="L64" i="20" s="1"/>
  <c r="I65" i="20"/>
  <c r="L65" i="20" s="1"/>
  <c r="I66" i="20"/>
  <c r="L66" i="20" s="1"/>
  <c r="I69" i="20"/>
  <c r="L69" i="20" s="1"/>
  <c r="I70" i="20"/>
  <c r="L70" i="20" s="1"/>
  <c r="I71" i="20"/>
  <c r="L71" i="20" s="1"/>
  <c r="I72" i="20"/>
  <c r="L72" i="20" s="1"/>
  <c r="I73" i="20"/>
  <c r="L73" i="20" s="1"/>
  <c r="I74" i="20"/>
  <c r="L74" i="20" s="1"/>
  <c r="I75" i="20"/>
  <c r="L75" i="20" s="1"/>
  <c r="I76" i="20"/>
  <c r="L76" i="20" s="1"/>
  <c r="I77" i="20"/>
  <c r="L77" i="20" s="1"/>
  <c r="I78" i="20"/>
  <c r="L78" i="20" s="1"/>
  <c r="I79" i="20"/>
  <c r="L79" i="20" s="1"/>
  <c r="I80" i="20"/>
  <c r="L80" i="20" s="1"/>
  <c r="I81" i="20"/>
  <c r="L81" i="20" s="1"/>
  <c r="I82" i="20"/>
  <c r="L82" i="20" s="1"/>
  <c r="I53" i="24"/>
  <c r="L53" i="24" s="1"/>
  <c r="I54" i="24"/>
  <c r="L54" i="24" s="1"/>
  <c r="I57" i="24"/>
  <c r="L57" i="24" s="1"/>
  <c r="I58" i="24"/>
  <c r="L58" i="24" s="1"/>
  <c r="I61" i="24"/>
  <c r="L61" i="24" s="1"/>
  <c r="I62" i="24"/>
  <c r="L62" i="24" s="1"/>
  <c r="I65" i="24"/>
  <c r="L65" i="24" s="1"/>
  <c r="I66" i="24"/>
  <c r="L66" i="24" s="1"/>
  <c r="I69" i="24"/>
  <c r="L69" i="24" s="1"/>
  <c r="I70" i="24"/>
  <c r="L70" i="24" s="1"/>
  <c r="I73" i="24"/>
  <c r="L73" i="24" s="1"/>
  <c r="I74" i="24"/>
  <c r="L74" i="24" s="1"/>
  <c r="I75" i="24"/>
  <c r="L75" i="24" s="1"/>
  <c r="I77" i="24"/>
  <c r="L77" i="24" s="1"/>
  <c r="I79" i="24"/>
  <c r="L79" i="24" s="1"/>
  <c r="I81" i="24"/>
  <c r="L81" i="24" s="1"/>
  <c r="I55" i="24"/>
  <c r="L55" i="24" s="1"/>
  <c r="I56" i="24"/>
  <c r="L56" i="24" s="1"/>
  <c r="I59" i="24"/>
  <c r="L59" i="24" s="1"/>
  <c r="I60" i="24"/>
  <c r="L60" i="24" s="1"/>
  <c r="I63" i="24"/>
  <c r="L63" i="24" s="1"/>
  <c r="I64" i="24"/>
  <c r="L64" i="24" s="1"/>
  <c r="I67" i="24"/>
  <c r="L67" i="24" s="1"/>
  <c r="I71" i="24"/>
  <c r="L71" i="24" s="1"/>
  <c r="I72" i="24"/>
  <c r="L72" i="24" s="1"/>
  <c r="I76" i="24"/>
  <c r="L76" i="24" s="1"/>
  <c r="I78" i="24"/>
  <c r="L78" i="24" s="1"/>
  <c r="I82" i="24"/>
  <c r="L82" i="24" s="1"/>
  <c r="I25" i="17"/>
  <c r="L25" i="17" s="1"/>
  <c r="I29" i="17"/>
  <c r="L29" i="17" s="1"/>
  <c r="I35" i="17"/>
  <c r="L35" i="17" s="1"/>
  <c r="I43" i="17"/>
  <c r="L43" i="17" s="1"/>
  <c r="I45" i="17"/>
  <c r="L45" i="17" s="1"/>
  <c r="I21" i="18"/>
  <c r="L21" i="18" s="1"/>
  <c r="I25" i="18"/>
  <c r="L25" i="18" s="1"/>
  <c r="I31" i="18"/>
  <c r="L31" i="18" s="1"/>
  <c r="I33" i="18"/>
  <c r="L33" i="18" s="1"/>
  <c r="I37" i="18"/>
  <c r="L37" i="18" s="1"/>
  <c r="I39" i="18"/>
  <c r="L39" i="18" s="1"/>
  <c r="I41" i="18"/>
  <c r="L41" i="18" s="1"/>
  <c r="I43" i="18"/>
  <c r="L43" i="18" s="1"/>
  <c r="I19" i="20"/>
  <c r="L19" i="20" s="1"/>
  <c r="I21" i="20"/>
  <c r="L21" i="20" s="1"/>
  <c r="I23" i="20"/>
  <c r="L23" i="20" s="1"/>
  <c r="I27" i="20"/>
  <c r="L27" i="20" s="1"/>
  <c r="I29" i="20"/>
  <c r="L29" i="20" s="1"/>
  <c r="I33" i="20"/>
  <c r="L33" i="20" s="1"/>
  <c r="I35" i="20"/>
  <c r="L35" i="20" s="1"/>
  <c r="I39" i="20"/>
  <c r="L39" i="20" s="1"/>
  <c r="I43" i="20"/>
  <c r="L43" i="20" s="1"/>
  <c r="H47" i="17"/>
  <c r="H83" i="17" s="1"/>
  <c r="I20" i="24"/>
  <c r="L20" i="24" s="1"/>
  <c r="I24" i="24"/>
  <c r="L24" i="24" s="1"/>
  <c r="I28" i="24"/>
  <c r="L28" i="24" s="1"/>
  <c r="I32" i="24"/>
  <c r="L32" i="24" s="1"/>
  <c r="I36" i="24"/>
  <c r="L36" i="24" s="1"/>
  <c r="I40" i="24"/>
  <c r="L40" i="24" s="1"/>
  <c r="I44" i="24"/>
  <c r="L44" i="24" s="1"/>
  <c r="I19" i="17"/>
  <c r="L19" i="17" s="1"/>
  <c r="I21" i="17"/>
  <c r="L21" i="17" s="1"/>
  <c r="I23" i="17"/>
  <c r="L23" i="17" s="1"/>
  <c r="I27" i="17"/>
  <c r="L27" i="17" s="1"/>
  <c r="I31" i="17"/>
  <c r="L31" i="17" s="1"/>
  <c r="I33" i="17"/>
  <c r="L33" i="17" s="1"/>
  <c r="I37" i="17"/>
  <c r="L37" i="17" s="1"/>
  <c r="I39" i="17"/>
  <c r="L39" i="17" s="1"/>
  <c r="I41" i="17"/>
  <c r="L41" i="17" s="1"/>
  <c r="I19" i="18"/>
  <c r="L19" i="18" s="1"/>
  <c r="I23" i="18"/>
  <c r="L23" i="18" s="1"/>
  <c r="I27" i="18"/>
  <c r="L27" i="18" s="1"/>
  <c r="I29" i="18"/>
  <c r="L29" i="18" s="1"/>
  <c r="I35" i="18"/>
  <c r="L35" i="18" s="1"/>
  <c r="I45" i="18"/>
  <c r="L45" i="18" s="1"/>
  <c r="I25" i="20"/>
  <c r="L25" i="20" s="1"/>
  <c r="I31" i="20"/>
  <c r="L31" i="20" s="1"/>
  <c r="I37" i="20"/>
  <c r="L37" i="20" s="1"/>
  <c r="I41" i="20"/>
  <c r="L41" i="20" s="1"/>
  <c r="I45" i="20"/>
  <c r="L45" i="20" s="1"/>
  <c r="I18" i="24"/>
  <c r="L18" i="24" s="1"/>
  <c r="I22" i="24"/>
  <c r="L22" i="24" s="1"/>
  <c r="I26" i="24"/>
  <c r="L26" i="24" s="1"/>
  <c r="I30" i="24"/>
  <c r="L30" i="24" s="1"/>
  <c r="I34" i="24"/>
  <c r="L34" i="24" s="1"/>
  <c r="I38" i="24"/>
  <c r="L38" i="24" s="1"/>
  <c r="I42" i="24"/>
  <c r="L42" i="24" s="1"/>
  <c r="I46" i="24"/>
  <c r="L46" i="24" s="1"/>
  <c r="I19" i="24"/>
  <c r="L19" i="24" s="1"/>
  <c r="I21" i="24"/>
  <c r="L21" i="24" s="1"/>
  <c r="I23" i="24"/>
  <c r="L23" i="24" s="1"/>
  <c r="I25" i="24"/>
  <c r="L25" i="24" s="1"/>
  <c r="I27" i="24"/>
  <c r="L27" i="24" s="1"/>
  <c r="I29" i="24"/>
  <c r="L29" i="24" s="1"/>
  <c r="I31" i="24"/>
  <c r="L31" i="24" s="1"/>
  <c r="I33" i="24"/>
  <c r="L33" i="24" s="1"/>
  <c r="I35" i="24"/>
  <c r="L35" i="24" s="1"/>
  <c r="I37" i="24"/>
  <c r="L37" i="24" s="1"/>
  <c r="I39" i="24"/>
  <c r="L39" i="24" s="1"/>
  <c r="I41" i="24"/>
  <c r="L41" i="24" s="1"/>
  <c r="I43" i="24"/>
  <c r="L43" i="24" s="1"/>
  <c r="I45" i="24"/>
  <c r="L45" i="24" s="1"/>
  <c r="H17" i="19"/>
  <c r="H17" i="20" s="1"/>
  <c r="H17" i="21" s="1"/>
  <c r="H74" i="30"/>
  <c r="H74" i="31" s="1"/>
  <c r="I74" i="31" s="1"/>
  <c r="L74" i="31" s="1"/>
  <c r="I74" i="27"/>
  <c r="L74" i="27" s="1"/>
  <c r="I53" i="25"/>
  <c r="L53" i="25" s="1"/>
  <c r="I54" i="25"/>
  <c r="L54" i="25" s="1"/>
  <c r="I55" i="25"/>
  <c r="L55" i="25" s="1"/>
  <c r="I56" i="25"/>
  <c r="L56" i="25" s="1"/>
  <c r="I57" i="25"/>
  <c r="L57" i="25" s="1"/>
  <c r="I58" i="25"/>
  <c r="L58" i="25" s="1"/>
  <c r="I59" i="25"/>
  <c r="L59" i="25" s="1"/>
  <c r="I60" i="25"/>
  <c r="L60" i="25" s="1"/>
  <c r="I61" i="25"/>
  <c r="L61" i="25" s="1"/>
  <c r="I62" i="25"/>
  <c r="L62" i="25" s="1"/>
  <c r="I63" i="25"/>
  <c r="L63" i="25" s="1"/>
  <c r="I65" i="25"/>
  <c r="L65" i="25" s="1"/>
  <c r="I66" i="25"/>
  <c r="L66" i="25" s="1"/>
  <c r="I67" i="25"/>
  <c r="L67" i="25" s="1"/>
  <c r="I69" i="25"/>
  <c r="L69" i="25" s="1"/>
  <c r="I70" i="25"/>
  <c r="L70" i="25" s="1"/>
  <c r="I71" i="25"/>
  <c r="L71" i="25" s="1"/>
  <c r="I72" i="25"/>
  <c r="L72" i="25" s="1"/>
  <c r="I73" i="25"/>
  <c r="L73" i="25" s="1"/>
  <c r="I74" i="25"/>
  <c r="L74" i="25" s="1"/>
  <c r="I75" i="25"/>
  <c r="L75" i="25" s="1"/>
  <c r="I76" i="25"/>
  <c r="L76" i="25" s="1"/>
  <c r="I77" i="25"/>
  <c r="L77" i="25" s="1"/>
  <c r="I78" i="25"/>
  <c r="L78" i="25" s="1"/>
  <c r="I79" i="25"/>
  <c r="L79" i="25" s="1"/>
  <c r="I80" i="25"/>
  <c r="L80" i="25" s="1"/>
  <c r="I81" i="25"/>
  <c r="L81" i="25" s="1"/>
  <c r="I82" i="25"/>
  <c r="L82" i="25" s="1"/>
  <c r="I53" i="26"/>
  <c r="L53" i="26" s="1"/>
  <c r="I54" i="26"/>
  <c r="L54" i="26" s="1"/>
  <c r="I55" i="26"/>
  <c r="L55" i="26" s="1"/>
  <c r="I57" i="26"/>
  <c r="L57" i="26" s="1"/>
  <c r="I58" i="26"/>
  <c r="L58" i="26" s="1"/>
  <c r="I59" i="26"/>
  <c r="L59" i="26" s="1"/>
  <c r="I60" i="26"/>
  <c r="L60" i="26" s="1"/>
  <c r="I61" i="26"/>
  <c r="L61" i="26" s="1"/>
  <c r="I62" i="26"/>
  <c r="L62" i="26" s="1"/>
  <c r="I63" i="26"/>
  <c r="L63" i="26" s="1"/>
  <c r="I65" i="26"/>
  <c r="L65" i="26" s="1"/>
  <c r="I66" i="26"/>
  <c r="L66" i="26" s="1"/>
  <c r="I67" i="26"/>
  <c r="L67" i="26" s="1"/>
  <c r="I69" i="26"/>
  <c r="L69" i="26" s="1"/>
  <c r="I70" i="26"/>
  <c r="L70" i="26" s="1"/>
  <c r="I71" i="26"/>
  <c r="L71" i="26" s="1"/>
  <c r="I73" i="26"/>
  <c r="L73" i="26" s="1"/>
  <c r="I74" i="26"/>
  <c r="L74" i="26" s="1"/>
  <c r="I75" i="26"/>
  <c r="L75" i="26" s="1"/>
  <c r="I76" i="26"/>
  <c r="L76" i="26" s="1"/>
  <c r="I77" i="26"/>
  <c r="L77" i="26" s="1"/>
  <c r="I78" i="26"/>
  <c r="L78" i="26" s="1"/>
  <c r="I79" i="26"/>
  <c r="L79" i="26" s="1"/>
  <c r="I80" i="26"/>
  <c r="L80" i="26" s="1"/>
  <c r="I81" i="26"/>
  <c r="L81" i="26" s="1"/>
  <c r="I82" i="26"/>
  <c r="L82" i="26" s="1"/>
  <c r="I53" i="27"/>
  <c r="L53" i="27" s="1"/>
  <c r="I54" i="27"/>
  <c r="L54" i="27" s="1"/>
  <c r="I55" i="27"/>
  <c r="L55" i="27" s="1"/>
  <c r="I56" i="27"/>
  <c r="L56" i="27" s="1"/>
  <c r="I57" i="27"/>
  <c r="L57" i="27" s="1"/>
  <c r="I58" i="27"/>
  <c r="L58" i="27" s="1"/>
  <c r="I59" i="27"/>
  <c r="L59" i="27" s="1"/>
  <c r="I60" i="27"/>
  <c r="L60" i="27" s="1"/>
  <c r="I61" i="27"/>
  <c r="L61" i="27" s="1"/>
  <c r="I62" i="27"/>
  <c r="L62" i="27" s="1"/>
  <c r="I63" i="27"/>
  <c r="L63" i="27" s="1"/>
  <c r="I65" i="27"/>
  <c r="L65" i="27" s="1"/>
  <c r="I66" i="27"/>
  <c r="L66" i="27" s="1"/>
  <c r="I67" i="27"/>
  <c r="L67" i="27" s="1"/>
  <c r="I69" i="27"/>
  <c r="L69" i="27" s="1"/>
  <c r="I70" i="27"/>
  <c r="L70" i="27" s="1"/>
  <c r="I71" i="27"/>
  <c r="L71" i="27" s="1"/>
  <c r="I18" i="25"/>
  <c r="L18" i="25" s="1"/>
  <c r="I19" i="25"/>
  <c r="L19" i="25" s="1"/>
  <c r="I20" i="25"/>
  <c r="L20" i="25" s="1"/>
  <c r="I21" i="25"/>
  <c r="L21" i="25" s="1"/>
  <c r="I22" i="25"/>
  <c r="L22" i="25" s="1"/>
  <c r="I23" i="25"/>
  <c r="L23" i="25" s="1"/>
  <c r="I24" i="25"/>
  <c r="L24" i="25" s="1"/>
  <c r="I25" i="25"/>
  <c r="L25" i="25" s="1"/>
  <c r="I26" i="25"/>
  <c r="L26" i="25" s="1"/>
  <c r="I27" i="25"/>
  <c r="L27" i="25" s="1"/>
  <c r="I28" i="25"/>
  <c r="L28" i="25" s="1"/>
  <c r="I29" i="25"/>
  <c r="L29" i="25" s="1"/>
  <c r="I30" i="25"/>
  <c r="L30" i="25" s="1"/>
  <c r="I31" i="25"/>
  <c r="L31" i="25" s="1"/>
  <c r="I32" i="25"/>
  <c r="L32" i="25" s="1"/>
  <c r="I33" i="25"/>
  <c r="L33" i="25" s="1"/>
  <c r="I34" i="25"/>
  <c r="L34" i="25" s="1"/>
  <c r="I35" i="25"/>
  <c r="L35" i="25" s="1"/>
  <c r="I36" i="25"/>
  <c r="L36" i="25" s="1"/>
  <c r="I37" i="25"/>
  <c r="L37" i="25" s="1"/>
  <c r="I38" i="25"/>
  <c r="L38" i="25" s="1"/>
  <c r="I39" i="25"/>
  <c r="L39" i="25" s="1"/>
  <c r="I40" i="25"/>
  <c r="L40" i="25" s="1"/>
  <c r="I41" i="25"/>
  <c r="L41" i="25" s="1"/>
  <c r="I42" i="25"/>
  <c r="L42" i="25" s="1"/>
  <c r="I43" i="25"/>
  <c r="L43" i="25" s="1"/>
  <c r="I44" i="25"/>
  <c r="L44" i="25" s="1"/>
  <c r="I45" i="25"/>
  <c r="L45" i="25" s="1"/>
  <c r="I46" i="25"/>
  <c r="L46" i="25" s="1"/>
  <c r="I18" i="26"/>
  <c r="L18" i="26" s="1"/>
  <c r="I19" i="26"/>
  <c r="L19" i="26" s="1"/>
  <c r="I20" i="26"/>
  <c r="L20" i="26" s="1"/>
  <c r="I21" i="26"/>
  <c r="L21" i="26" s="1"/>
  <c r="I22" i="26"/>
  <c r="L22" i="26" s="1"/>
  <c r="I23" i="26"/>
  <c r="L23" i="26" s="1"/>
  <c r="I24" i="26"/>
  <c r="L24" i="26" s="1"/>
  <c r="I25" i="26"/>
  <c r="L25" i="26" s="1"/>
  <c r="I26" i="26"/>
  <c r="L26" i="26" s="1"/>
  <c r="I27" i="26"/>
  <c r="L27" i="26" s="1"/>
  <c r="I28" i="26"/>
  <c r="L28" i="26" s="1"/>
  <c r="I29" i="26"/>
  <c r="L29" i="26" s="1"/>
  <c r="I30" i="26"/>
  <c r="L30" i="26" s="1"/>
  <c r="I31" i="26"/>
  <c r="L31" i="26" s="1"/>
  <c r="I32" i="26"/>
  <c r="L32" i="26" s="1"/>
  <c r="I33" i="26"/>
  <c r="L33" i="26" s="1"/>
  <c r="I34" i="26"/>
  <c r="L34" i="26" s="1"/>
  <c r="I35" i="26"/>
  <c r="L35" i="26" s="1"/>
  <c r="I36" i="26"/>
  <c r="L36" i="26" s="1"/>
  <c r="I37" i="26"/>
  <c r="L37" i="26" s="1"/>
  <c r="I38" i="26"/>
  <c r="L38" i="26" s="1"/>
  <c r="I39" i="26"/>
  <c r="L39" i="26" s="1"/>
  <c r="I40" i="26"/>
  <c r="L40" i="26" s="1"/>
  <c r="I41" i="26"/>
  <c r="L41" i="26" s="1"/>
  <c r="I42" i="26"/>
  <c r="L42" i="26" s="1"/>
  <c r="I43" i="26"/>
  <c r="L43" i="26" s="1"/>
  <c r="I44" i="26"/>
  <c r="L44" i="26" s="1"/>
  <c r="I45" i="26"/>
  <c r="L45" i="26" s="1"/>
  <c r="I46" i="26"/>
  <c r="L46" i="26" s="1"/>
  <c r="I18" i="27"/>
  <c r="L18" i="27" s="1"/>
  <c r="I19" i="27"/>
  <c r="L19" i="27" s="1"/>
  <c r="I20" i="27"/>
  <c r="L20" i="27" s="1"/>
  <c r="I21" i="27"/>
  <c r="L21" i="27" s="1"/>
  <c r="I22" i="27"/>
  <c r="L22" i="27" s="1"/>
  <c r="I23" i="27"/>
  <c r="L23" i="27" s="1"/>
  <c r="I24" i="27"/>
  <c r="L24" i="27" s="1"/>
  <c r="I25" i="27"/>
  <c r="L25" i="27" s="1"/>
  <c r="I26" i="27"/>
  <c r="L26" i="27" s="1"/>
  <c r="I27" i="27"/>
  <c r="L27" i="27" s="1"/>
  <c r="I28" i="27"/>
  <c r="L28" i="27" s="1"/>
  <c r="I29" i="27"/>
  <c r="L29" i="27" s="1"/>
  <c r="I30" i="27"/>
  <c r="L30" i="27" s="1"/>
  <c r="I31" i="27"/>
  <c r="L31" i="27" s="1"/>
  <c r="I32" i="27"/>
  <c r="L32" i="27" s="1"/>
  <c r="I33" i="27"/>
  <c r="L33" i="27" s="1"/>
  <c r="I34" i="27"/>
  <c r="L34" i="27" s="1"/>
  <c r="I35" i="27"/>
  <c r="L35" i="27" s="1"/>
  <c r="I36" i="27"/>
  <c r="L36" i="27" s="1"/>
  <c r="I37" i="27"/>
  <c r="L37" i="27" s="1"/>
  <c r="I38" i="27"/>
  <c r="L38" i="27" s="1"/>
  <c r="I39" i="27"/>
  <c r="L39" i="27" s="1"/>
  <c r="I40" i="27"/>
  <c r="L40" i="27" s="1"/>
  <c r="I41" i="27"/>
  <c r="L41" i="27" s="1"/>
  <c r="I42" i="27"/>
  <c r="L42" i="27" s="1"/>
  <c r="I43" i="27"/>
  <c r="L43" i="27" s="1"/>
  <c r="I44" i="27"/>
  <c r="L44" i="27" s="1"/>
  <c r="I45" i="27"/>
  <c r="L45" i="27" s="1"/>
  <c r="I46" i="27"/>
  <c r="L46" i="27" s="1"/>
  <c r="I73" i="27"/>
  <c r="L73" i="27" s="1"/>
  <c r="I76" i="27"/>
  <c r="L76" i="27" s="1"/>
  <c r="I77" i="27"/>
  <c r="L77" i="27" s="1"/>
  <c r="I78" i="27"/>
  <c r="L78" i="27" s="1"/>
  <c r="I79" i="27"/>
  <c r="L79" i="27" s="1"/>
  <c r="I80" i="27"/>
  <c r="L80" i="27" s="1"/>
  <c r="I81" i="27"/>
  <c r="L81" i="27" s="1"/>
  <c r="I82" i="27"/>
  <c r="L82" i="27" s="1"/>
  <c r="I53" i="28"/>
  <c r="L53" i="28" s="1"/>
  <c r="I54" i="28"/>
  <c r="L54" i="28" s="1"/>
  <c r="I56" i="28"/>
  <c r="L56" i="28" s="1"/>
  <c r="I58" i="28"/>
  <c r="L58" i="28" s="1"/>
  <c r="I60" i="28"/>
  <c r="L60" i="28" s="1"/>
  <c r="I62" i="28"/>
  <c r="L62" i="28" s="1"/>
  <c r="I63" i="28"/>
  <c r="L63" i="28" s="1"/>
  <c r="I64" i="28"/>
  <c r="L64" i="28" s="1"/>
  <c r="I66" i="28"/>
  <c r="L66" i="28" s="1"/>
  <c r="I70" i="28"/>
  <c r="L70" i="28" s="1"/>
  <c r="I72" i="28"/>
  <c r="L72" i="28" s="1"/>
  <c r="I74" i="28"/>
  <c r="L74" i="28" s="1"/>
  <c r="I75" i="28"/>
  <c r="L75" i="28" s="1"/>
  <c r="I76" i="28"/>
  <c r="L76" i="28" s="1"/>
  <c r="I77" i="28"/>
  <c r="L77" i="28" s="1"/>
  <c r="I78" i="28"/>
  <c r="L78" i="28" s="1"/>
  <c r="I79" i="28"/>
  <c r="L79" i="28" s="1"/>
  <c r="I80" i="28"/>
  <c r="L80" i="28" s="1"/>
  <c r="I81" i="28"/>
  <c r="L81" i="28" s="1"/>
  <c r="I82" i="28"/>
  <c r="L82" i="28" s="1"/>
  <c r="I75" i="27"/>
  <c r="L75" i="27" s="1"/>
  <c r="I18" i="28"/>
  <c r="L18" i="28" s="1"/>
  <c r="I19" i="28"/>
  <c r="L19" i="28" s="1"/>
  <c r="I20" i="28"/>
  <c r="L20" i="28" s="1"/>
  <c r="I21" i="28"/>
  <c r="L21" i="28" s="1"/>
  <c r="I22" i="28"/>
  <c r="L22" i="28" s="1"/>
  <c r="I23" i="28"/>
  <c r="L23" i="28" s="1"/>
  <c r="I24" i="28"/>
  <c r="L24" i="28" s="1"/>
  <c r="I25" i="28"/>
  <c r="L25" i="28" s="1"/>
  <c r="I26" i="28"/>
  <c r="L26" i="28" s="1"/>
  <c r="I27" i="28"/>
  <c r="L27" i="28" s="1"/>
  <c r="I28" i="28"/>
  <c r="L28" i="28" s="1"/>
  <c r="I29" i="28"/>
  <c r="L29" i="28" s="1"/>
  <c r="I30" i="28"/>
  <c r="L30" i="28" s="1"/>
  <c r="I31" i="28"/>
  <c r="L31" i="28" s="1"/>
  <c r="I32" i="28"/>
  <c r="L32" i="28" s="1"/>
  <c r="I33" i="28"/>
  <c r="L33" i="28" s="1"/>
  <c r="I34" i="28"/>
  <c r="L34" i="28" s="1"/>
  <c r="I35" i="28"/>
  <c r="L35" i="28" s="1"/>
  <c r="I36" i="28"/>
  <c r="L36" i="28" s="1"/>
  <c r="I37" i="28"/>
  <c r="L37" i="28" s="1"/>
  <c r="I38" i="28"/>
  <c r="L38" i="28" s="1"/>
  <c r="I39" i="28"/>
  <c r="L39" i="28" s="1"/>
  <c r="I40" i="28"/>
  <c r="L40" i="28" s="1"/>
  <c r="I41" i="28"/>
  <c r="L41" i="28" s="1"/>
  <c r="I42" i="28"/>
  <c r="L42" i="28" s="1"/>
  <c r="I43" i="28"/>
  <c r="L43" i="28" s="1"/>
  <c r="I44" i="28"/>
  <c r="L44" i="28" s="1"/>
  <c r="I45" i="28"/>
  <c r="L45" i="28" s="1"/>
  <c r="I46" i="28"/>
  <c r="L46" i="28" s="1"/>
  <c r="I18" i="29"/>
  <c r="L18" i="29" s="1"/>
  <c r="I19" i="29"/>
  <c r="L19" i="29" s="1"/>
  <c r="I20" i="29"/>
  <c r="L20" i="29" s="1"/>
  <c r="G47" i="29"/>
  <c r="G83" i="29" s="1"/>
  <c r="I21" i="29"/>
  <c r="L21" i="29" s="1"/>
  <c r="I53" i="29"/>
  <c r="L53" i="29" s="1"/>
  <c r="I54" i="29"/>
  <c r="L54" i="29" s="1"/>
  <c r="I56" i="29"/>
  <c r="L56" i="29" s="1"/>
  <c r="I58" i="29"/>
  <c r="L58" i="29" s="1"/>
  <c r="I60" i="29"/>
  <c r="L60" i="29" s="1"/>
  <c r="I61" i="29"/>
  <c r="L61" i="29" s="1"/>
  <c r="I62" i="29"/>
  <c r="L62" i="29" s="1"/>
  <c r="I64" i="29"/>
  <c r="L64" i="29" s="1"/>
  <c r="I66" i="29"/>
  <c r="L66" i="29" s="1"/>
  <c r="I70" i="29"/>
  <c r="L70" i="29" s="1"/>
  <c r="I72" i="29"/>
  <c r="L72" i="29" s="1"/>
  <c r="I74" i="29"/>
  <c r="L74" i="29" s="1"/>
  <c r="I75" i="29"/>
  <c r="L75" i="29" s="1"/>
  <c r="I76" i="29"/>
  <c r="L76" i="29" s="1"/>
  <c r="I77" i="29"/>
  <c r="L77" i="29" s="1"/>
  <c r="I78" i="29"/>
  <c r="L78" i="29" s="1"/>
  <c r="I79" i="29"/>
  <c r="L79" i="29" s="1"/>
  <c r="I81" i="29"/>
  <c r="L81" i="29" s="1"/>
  <c r="I82" i="29"/>
  <c r="L82" i="29" s="1"/>
  <c r="I54" i="30"/>
  <c r="L54" i="30" s="1"/>
  <c r="I56" i="30"/>
  <c r="L56" i="30" s="1"/>
  <c r="I22" i="29"/>
  <c r="L22" i="29" s="1"/>
  <c r="I23" i="29"/>
  <c r="L23" i="29" s="1"/>
  <c r="I24" i="29"/>
  <c r="L24" i="29" s="1"/>
  <c r="I25" i="29"/>
  <c r="L25" i="29" s="1"/>
  <c r="I26" i="29"/>
  <c r="L26" i="29" s="1"/>
  <c r="I27" i="29"/>
  <c r="L27" i="29" s="1"/>
  <c r="I28" i="29"/>
  <c r="L28" i="29" s="1"/>
  <c r="I29" i="29"/>
  <c r="L29" i="29" s="1"/>
  <c r="I30" i="29"/>
  <c r="L30" i="29" s="1"/>
  <c r="I31" i="29"/>
  <c r="L31" i="29" s="1"/>
  <c r="I32" i="29"/>
  <c r="L32" i="29" s="1"/>
  <c r="I33" i="29"/>
  <c r="L33" i="29" s="1"/>
  <c r="I34" i="29"/>
  <c r="L34" i="29" s="1"/>
  <c r="I35" i="29"/>
  <c r="L35" i="29" s="1"/>
  <c r="I36" i="29"/>
  <c r="L36" i="29" s="1"/>
  <c r="I37" i="29"/>
  <c r="L37" i="29" s="1"/>
  <c r="I38" i="29"/>
  <c r="L38" i="29" s="1"/>
  <c r="I39" i="29"/>
  <c r="L39" i="29" s="1"/>
  <c r="I40" i="29"/>
  <c r="L40" i="29" s="1"/>
  <c r="I41" i="29"/>
  <c r="L41" i="29" s="1"/>
  <c r="I42" i="29"/>
  <c r="L42" i="29" s="1"/>
  <c r="I43" i="29"/>
  <c r="L43" i="29" s="1"/>
  <c r="I44" i="29"/>
  <c r="L44" i="29" s="1"/>
  <c r="I45" i="29"/>
  <c r="L45" i="29" s="1"/>
  <c r="I46" i="29"/>
  <c r="L46" i="29" s="1"/>
  <c r="I18" i="30"/>
  <c r="L18" i="30" s="1"/>
  <c r="I19" i="30"/>
  <c r="L19" i="30" s="1"/>
  <c r="I20" i="30"/>
  <c r="L20" i="30" s="1"/>
  <c r="I21" i="30"/>
  <c r="L21" i="30" s="1"/>
  <c r="I22" i="30"/>
  <c r="L22" i="30" s="1"/>
  <c r="I23" i="30"/>
  <c r="L23" i="30" s="1"/>
  <c r="I24" i="30"/>
  <c r="L24" i="30" s="1"/>
  <c r="I25" i="30"/>
  <c r="L25" i="30" s="1"/>
  <c r="I26" i="30"/>
  <c r="L26" i="30" s="1"/>
  <c r="I27" i="30"/>
  <c r="L27" i="30" s="1"/>
  <c r="I28" i="30"/>
  <c r="L28" i="30" s="1"/>
  <c r="I29" i="30"/>
  <c r="L29" i="30" s="1"/>
  <c r="I30" i="30"/>
  <c r="L30" i="30" s="1"/>
  <c r="I31" i="30"/>
  <c r="L31" i="30" s="1"/>
  <c r="I32" i="30"/>
  <c r="L32" i="30" s="1"/>
  <c r="I33" i="30"/>
  <c r="L33" i="30" s="1"/>
  <c r="I34" i="30"/>
  <c r="L34" i="30" s="1"/>
  <c r="I35" i="30"/>
  <c r="L35" i="30" s="1"/>
  <c r="I36" i="30"/>
  <c r="L36" i="30" s="1"/>
  <c r="I37" i="30"/>
  <c r="L37" i="30" s="1"/>
  <c r="I38" i="30"/>
  <c r="L38" i="30" s="1"/>
  <c r="I39" i="30"/>
  <c r="L39" i="30" s="1"/>
  <c r="I40" i="30"/>
  <c r="L40" i="30" s="1"/>
  <c r="I41" i="30"/>
  <c r="L41" i="30" s="1"/>
  <c r="I42" i="30"/>
  <c r="L42" i="30" s="1"/>
  <c r="I43" i="30"/>
  <c r="L43" i="30" s="1"/>
  <c r="I44" i="30"/>
  <c r="L44" i="30" s="1"/>
  <c r="I45" i="30"/>
  <c r="L45" i="30" s="1"/>
  <c r="I46" i="30"/>
  <c r="L46" i="30" s="1"/>
  <c r="I60" i="30"/>
  <c r="L60" i="30" s="1"/>
  <c r="I64" i="30"/>
  <c r="L64" i="30" s="1"/>
  <c r="I70" i="30"/>
  <c r="L70" i="30" s="1"/>
  <c r="I72" i="30"/>
  <c r="L72" i="30" s="1"/>
  <c r="I75" i="30"/>
  <c r="L75" i="30" s="1"/>
  <c r="I76" i="30"/>
  <c r="L76" i="30" s="1"/>
  <c r="I77" i="30"/>
  <c r="L77" i="30" s="1"/>
  <c r="I78" i="30"/>
  <c r="L78" i="30" s="1"/>
  <c r="I79" i="30"/>
  <c r="L79" i="30" s="1"/>
  <c r="I80" i="30"/>
  <c r="L80" i="30" s="1"/>
  <c r="I81" i="30"/>
  <c r="L81" i="30" s="1"/>
  <c r="I82" i="30"/>
  <c r="L82" i="30" s="1"/>
  <c r="I58" i="30"/>
  <c r="L58" i="30" s="1"/>
  <c r="I62" i="30"/>
  <c r="L62" i="30" s="1"/>
  <c r="I66" i="30"/>
  <c r="L66" i="30" s="1"/>
  <c r="I18" i="31"/>
  <c r="L18" i="31" s="1"/>
  <c r="I19" i="31"/>
  <c r="I20" i="31"/>
  <c r="I21" i="31"/>
  <c r="L21" i="31" s="1"/>
  <c r="I22" i="31"/>
  <c r="L22" i="31" s="1"/>
  <c r="I23" i="31"/>
  <c r="L23" i="31" s="1"/>
  <c r="I24" i="31"/>
  <c r="L24" i="31" s="1"/>
  <c r="G47" i="31"/>
  <c r="G83" i="31" s="1"/>
  <c r="I54" i="31"/>
  <c r="L54" i="31" s="1"/>
  <c r="I56" i="31"/>
  <c r="L56" i="31" s="1"/>
  <c r="I58" i="31"/>
  <c r="L58" i="31" s="1"/>
  <c r="I60" i="31"/>
  <c r="L60" i="31" s="1"/>
  <c r="I62" i="31"/>
  <c r="L62" i="31" s="1"/>
  <c r="I64" i="31"/>
  <c r="L64" i="31" s="1"/>
  <c r="I66" i="31"/>
  <c r="L66" i="31" s="1"/>
  <c r="I70" i="31"/>
  <c r="L70" i="31" s="1"/>
  <c r="I72" i="31"/>
  <c r="L72" i="31" s="1"/>
  <c r="I75" i="31"/>
  <c r="L75" i="31" s="1"/>
  <c r="I76" i="31"/>
  <c r="L76" i="31" s="1"/>
  <c r="I77" i="31"/>
  <c r="L77" i="31" s="1"/>
  <c r="I78" i="31"/>
  <c r="L78" i="31" s="1"/>
  <c r="I79" i="31"/>
  <c r="L79" i="31" s="1"/>
  <c r="I80" i="31"/>
  <c r="L80" i="31" s="1"/>
  <c r="I81" i="31"/>
  <c r="L81" i="31" s="1"/>
  <c r="I82" i="31"/>
  <c r="L82" i="31" s="1"/>
  <c r="I25" i="31"/>
  <c r="L25" i="31" s="1"/>
  <c r="I26" i="31"/>
  <c r="L26" i="31" s="1"/>
  <c r="I27" i="31"/>
  <c r="L27" i="31" s="1"/>
  <c r="I28" i="31"/>
  <c r="L28" i="31" s="1"/>
  <c r="I29" i="31"/>
  <c r="L29" i="31" s="1"/>
  <c r="I30" i="31"/>
  <c r="L30" i="31" s="1"/>
  <c r="I31" i="31"/>
  <c r="L31" i="31" s="1"/>
  <c r="I32" i="31"/>
  <c r="L32" i="31" s="1"/>
  <c r="I33" i="31"/>
  <c r="L33" i="31" s="1"/>
  <c r="I34" i="31"/>
  <c r="L34" i="31" s="1"/>
  <c r="I35" i="31"/>
  <c r="L35" i="31" s="1"/>
  <c r="I36" i="31"/>
  <c r="L36" i="31" s="1"/>
  <c r="I37" i="31"/>
  <c r="L37" i="31" s="1"/>
  <c r="I38" i="31"/>
  <c r="L38" i="31" s="1"/>
  <c r="I39" i="31"/>
  <c r="L39" i="31" s="1"/>
  <c r="I40" i="31"/>
  <c r="L40" i="31" s="1"/>
  <c r="I41" i="31"/>
  <c r="L41" i="31" s="1"/>
  <c r="I42" i="31"/>
  <c r="L42" i="31" s="1"/>
  <c r="I43" i="31"/>
  <c r="L43" i="31" s="1"/>
  <c r="I44" i="31"/>
  <c r="L44" i="31" s="1"/>
  <c r="I45" i="31"/>
  <c r="L45" i="31" s="1"/>
  <c r="I46" i="31"/>
  <c r="L46" i="31" s="1"/>
  <c r="I18" i="20"/>
  <c r="L18" i="20" s="1"/>
  <c r="I20" i="20"/>
  <c r="L20" i="20" s="1"/>
  <c r="I22" i="20"/>
  <c r="L22" i="20" s="1"/>
  <c r="I24" i="20"/>
  <c r="L24" i="20" s="1"/>
  <c r="I26" i="20"/>
  <c r="L26" i="20" s="1"/>
  <c r="I28" i="20"/>
  <c r="L28" i="20" s="1"/>
  <c r="I30" i="20"/>
  <c r="L30" i="20" s="1"/>
  <c r="I32" i="20"/>
  <c r="L32" i="20" s="1"/>
  <c r="I34" i="20"/>
  <c r="L34" i="20" s="1"/>
  <c r="I36" i="20"/>
  <c r="L36" i="20" s="1"/>
  <c r="I38" i="20"/>
  <c r="L38" i="20" s="1"/>
  <c r="I40" i="20"/>
  <c r="L40" i="20" s="1"/>
  <c r="I42" i="20"/>
  <c r="L42" i="20" s="1"/>
  <c r="I44" i="20"/>
  <c r="L44" i="20" s="1"/>
  <c r="I46" i="20"/>
  <c r="L46" i="20" s="1"/>
  <c r="I18" i="21"/>
  <c r="L18" i="21" s="1"/>
  <c r="I19" i="21"/>
  <c r="L19" i="21" s="1"/>
  <c r="I20" i="21"/>
  <c r="L20" i="21" s="1"/>
  <c r="I57" i="22"/>
  <c r="L57" i="22" s="1"/>
  <c r="I53" i="21"/>
  <c r="L53" i="21" s="1"/>
  <c r="I54" i="21"/>
  <c r="L54" i="21" s="1"/>
  <c r="I55" i="21"/>
  <c r="L55" i="21" s="1"/>
  <c r="I56" i="21"/>
  <c r="L56" i="21" s="1"/>
  <c r="I57" i="21"/>
  <c r="L57" i="21" s="1"/>
  <c r="I58" i="21"/>
  <c r="L58" i="21" s="1"/>
  <c r="I59" i="21"/>
  <c r="L59" i="21" s="1"/>
  <c r="I60" i="21"/>
  <c r="L60" i="21" s="1"/>
  <c r="I61" i="21"/>
  <c r="L61" i="21" s="1"/>
  <c r="I62" i="21"/>
  <c r="L62" i="21" s="1"/>
  <c r="I63" i="21"/>
  <c r="L63" i="21" s="1"/>
  <c r="I64" i="21"/>
  <c r="L64" i="21" s="1"/>
  <c r="I65" i="21"/>
  <c r="L65" i="21" s="1"/>
  <c r="I66" i="21"/>
  <c r="L66" i="21" s="1"/>
  <c r="I67" i="21"/>
  <c r="L67" i="21" s="1"/>
  <c r="I69" i="21"/>
  <c r="L69" i="21" s="1"/>
  <c r="I70" i="21"/>
  <c r="L70" i="21" s="1"/>
  <c r="I71" i="21"/>
  <c r="L71" i="21" s="1"/>
  <c r="I72" i="21"/>
  <c r="L72" i="21" s="1"/>
  <c r="I73" i="21"/>
  <c r="L73" i="21" s="1"/>
  <c r="I74" i="21"/>
  <c r="L74" i="21" s="1"/>
  <c r="I75" i="21"/>
  <c r="L75" i="21" s="1"/>
  <c r="I76" i="21"/>
  <c r="L76" i="21" s="1"/>
  <c r="I77" i="21"/>
  <c r="L77" i="21" s="1"/>
  <c r="I78" i="21"/>
  <c r="L78" i="21" s="1"/>
  <c r="I79" i="21"/>
  <c r="L79" i="21" s="1"/>
  <c r="I80" i="21"/>
  <c r="L80" i="21" s="1"/>
  <c r="I81" i="21"/>
  <c r="L81" i="21" s="1"/>
  <c r="I82" i="21"/>
  <c r="L82" i="21" s="1"/>
  <c r="I53" i="22"/>
  <c r="L53" i="22" s="1"/>
  <c r="I54" i="22"/>
  <c r="L54" i="22" s="1"/>
  <c r="I55" i="22"/>
  <c r="L55" i="22" s="1"/>
  <c r="I56" i="22"/>
  <c r="L56" i="22" s="1"/>
  <c r="I59" i="22"/>
  <c r="L59" i="22" s="1"/>
  <c r="I21" i="21"/>
  <c r="L21" i="21" s="1"/>
  <c r="I22" i="21"/>
  <c r="L22" i="21" s="1"/>
  <c r="I23" i="21"/>
  <c r="L23" i="21" s="1"/>
  <c r="I24" i="21"/>
  <c r="L24" i="21" s="1"/>
  <c r="I25" i="21"/>
  <c r="L25" i="21" s="1"/>
  <c r="I26" i="21"/>
  <c r="L26" i="21" s="1"/>
  <c r="I27" i="21"/>
  <c r="L27" i="21" s="1"/>
  <c r="I28" i="21"/>
  <c r="L28" i="21" s="1"/>
  <c r="I29" i="21"/>
  <c r="L29" i="21" s="1"/>
  <c r="I30" i="21"/>
  <c r="L30" i="21" s="1"/>
  <c r="I31" i="21"/>
  <c r="L31" i="21" s="1"/>
  <c r="I32" i="21"/>
  <c r="L32" i="21" s="1"/>
  <c r="I33" i="21"/>
  <c r="L33" i="21" s="1"/>
  <c r="I34" i="21"/>
  <c r="L34" i="21" s="1"/>
  <c r="I35" i="21"/>
  <c r="L35" i="21" s="1"/>
  <c r="I36" i="21"/>
  <c r="L36" i="21" s="1"/>
  <c r="I37" i="21"/>
  <c r="L37" i="21" s="1"/>
  <c r="I38" i="21"/>
  <c r="L38" i="21" s="1"/>
  <c r="I39" i="21"/>
  <c r="L39" i="21" s="1"/>
  <c r="I40" i="21"/>
  <c r="L40" i="21" s="1"/>
  <c r="I41" i="21"/>
  <c r="L41" i="21" s="1"/>
  <c r="I42" i="21"/>
  <c r="L42" i="21" s="1"/>
  <c r="I43" i="21"/>
  <c r="L43" i="21" s="1"/>
  <c r="I44" i="21"/>
  <c r="L44" i="21" s="1"/>
  <c r="I45" i="21"/>
  <c r="L45" i="21" s="1"/>
  <c r="I46" i="21"/>
  <c r="L46" i="21" s="1"/>
  <c r="I18" i="22"/>
  <c r="L18" i="22" s="1"/>
  <c r="I19" i="22"/>
  <c r="L19" i="22" s="1"/>
  <c r="I20" i="22"/>
  <c r="L20" i="22" s="1"/>
  <c r="I21" i="22"/>
  <c r="L21" i="22" s="1"/>
  <c r="I22" i="22"/>
  <c r="L22" i="22" s="1"/>
  <c r="I23" i="22"/>
  <c r="L23" i="22" s="1"/>
  <c r="I24" i="22"/>
  <c r="L24" i="22" s="1"/>
  <c r="I25" i="22"/>
  <c r="L25" i="22" s="1"/>
  <c r="I26" i="22"/>
  <c r="L26" i="22" s="1"/>
  <c r="I27" i="22"/>
  <c r="L27" i="22" s="1"/>
  <c r="I28" i="22"/>
  <c r="L28" i="22" s="1"/>
  <c r="I29" i="22"/>
  <c r="L29" i="22" s="1"/>
  <c r="I30" i="22"/>
  <c r="L30" i="22" s="1"/>
  <c r="I31" i="22"/>
  <c r="L31" i="22" s="1"/>
  <c r="I32" i="22"/>
  <c r="L32" i="22" s="1"/>
  <c r="I33" i="22"/>
  <c r="L33" i="22" s="1"/>
  <c r="I34" i="22"/>
  <c r="L34" i="22" s="1"/>
  <c r="I35" i="22"/>
  <c r="L35" i="22" s="1"/>
  <c r="I36" i="22"/>
  <c r="L36" i="22" s="1"/>
  <c r="I37" i="22"/>
  <c r="L37" i="22" s="1"/>
  <c r="I38" i="22"/>
  <c r="L38" i="22" s="1"/>
  <c r="I39" i="22"/>
  <c r="L39" i="22" s="1"/>
  <c r="I40" i="22"/>
  <c r="L40" i="22" s="1"/>
  <c r="I41" i="22"/>
  <c r="L41" i="22" s="1"/>
  <c r="I42" i="22"/>
  <c r="L42" i="22" s="1"/>
  <c r="I43" i="22"/>
  <c r="L43" i="22" s="1"/>
  <c r="I44" i="22"/>
  <c r="L44" i="22" s="1"/>
  <c r="I45" i="22"/>
  <c r="L45" i="22" s="1"/>
  <c r="I46" i="22"/>
  <c r="L46" i="22" s="1"/>
  <c r="I58" i="22"/>
  <c r="L58" i="22" s="1"/>
  <c r="I61" i="22"/>
  <c r="L61" i="22" s="1"/>
  <c r="I62" i="22"/>
  <c r="L62" i="22" s="1"/>
  <c r="I63" i="22"/>
  <c r="L63" i="22" s="1"/>
  <c r="I64" i="22"/>
  <c r="L64" i="22" s="1"/>
  <c r="I65" i="22"/>
  <c r="L65" i="22" s="1"/>
  <c r="I66" i="22"/>
  <c r="L66" i="22" s="1"/>
  <c r="I67" i="22"/>
  <c r="L67" i="22" s="1"/>
  <c r="I69" i="22"/>
  <c r="L69" i="22" s="1"/>
  <c r="I70" i="22"/>
  <c r="L70" i="22" s="1"/>
  <c r="I71" i="22"/>
  <c r="L71" i="22" s="1"/>
  <c r="I72" i="22"/>
  <c r="L72" i="22" s="1"/>
  <c r="I73" i="22"/>
  <c r="L73" i="22" s="1"/>
  <c r="I74" i="22"/>
  <c r="L74" i="22" s="1"/>
  <c r="I75" i="22"/>
  <c r="L75" i="22" s="1"/>
  <c r="I76" i="22"/>
  <c r="L76" i="22" s="1"/>
  <c r="I77" i="22"/>
  <c r="L77" i="22" s="1"/>
  <c r="I78" i="22"/>
  <c r="L78" i="22" s="1"/>
  <c r="I79" i="22"/>
  <c r="L79" i="22" s="1"/>
  <c r="I80" i="22"/>
  <c r="L80" i="22" s="1"/>
  <c r="I81" i="22"/>
  <c r="L81" i="22" s="1"/>
  <c r="I82" i="22"/>
  <c r="L82" i="22" s="1"/>
  <c r="I60" i="22"/>
  <c r="L60" i="22" s="1"/>
  <c r="I18" i="23"/>
  <c r="L18" i="23" s="1"/>
  <c r="I19" i="23"/>
  <c r="L19" i="23" s="1"/>
  <c r="I20" i="23"/>
  <c r="L20" i="23" s="1"/>
  <c r="I21" i="23"/>
  <c r="L21" i="23" s="1"/>
  <c r="I22" i="23"/>
  <c r="L22" i="23" s="1"/>
  <c r="I23" i="23"/>
  <c r="L23" i="23" s="1"/>
  <c r="I24" i="23"/>
  <c r="L24" i="23" s="1"/>
  <c r="G47" i="23"/>
  <c r="G83"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18" i="18"/>
  <c r="L18" i="18" s="1"/>
  <c r="I20" i="18"/>
  <c r="L20" i="18" s="1"/>
  <c r="I22" i="18"/>
  <c r="L22" i="18" s="1"/>
  <c r="I24" i="18"/>
  <c r="L24" i="18" s="1"/>
  <c r="I26" i="18"/>
  <c r="L26" i="18" s="1"/>
  <c r="I28" i="18"/>
  <c r="L28" i="18" s="1"/>
  <c r="I30" i="18"/>
  <c r="L30" i="18" s="1"/>
  <c r="I32" i="18"/>
  <c r="L32" i="18" s="1"/>
  <c r="I34" i="18"/>
  <c r="L34" i="18" s="1"/>
  <c r="I36" i="18"/>
  <c r="L36" i="18" s="1"/>
  <c r="I38" i="18"/>
  <c r="L38" i="18" s="1"/>
  <c r="I40" i="18"/>
  <c r="L40" i="18" s="1"/>
  <c r="I44" i="18"/>
  <c r="L44" i="18" s="1"/>
  <c r="I46" i="18"/>
  <c r="L46" i="18" s="1"/>
  <c r="J47" i="18"/>
  <c r="J83" i="18" s="1"/>
  <c r="I42" i="18"/>
  <c r="L42" i="18" s="1"/>
  <c r="I18" i="19"/>
  <c r="L18" i="19" s="1"/>
  <c r="I19" i="19"/>
  <c r="L19" i="19" s="1"/>
  <c r="I20" i="19"/>
  <c r="L20" i="19" s="1"/>
  <c r="I21" i="19"/>
  <c r="L21" i="19" s="1"/>
  <c r="I22" i="19"/>
  <c r="L22" i="19" s="1"/>
  <c r="I23" i="19"/>
  <c r="L23" i="19" s="1"/>
  <c r="I24" i="19"/>
  <c r="L24" i="19" s="1"/>
  <c r="G47" i="19"/>
  <c r="G83" i="19" s="1"/>
  <c r="I53" i="19"/>
  <c r="L53" i="19" s="1"/>
  <c r="I54" i="19"/>
  <c r="L54" i="19" s="1"/>
  <c r="I55" i="19"/>
  <c r="L55" i="19" s="1"/>
  <c r="I56" i="19"/>
  <c r="L56" i="19" s="1"/>
  <c r="I57" i="19"/>
  <c r="L57" i="19" s="1"/>
  <c r="I58" i="19"/>
  <c r="L58" i="19" s="1"/>
  <c r="I59" i="19"/>
  <c r="L59" i="19" s="1"/>
  <c r="I60" i="19"/>
  <c r="L60" i="19" s="1"/>
  <c r="I61" i="19"/>
  <c r="L61" i="19" s="1"/>
  <c r="I62" i="19"/>
  <c r="L62" i="19" s="1"/>
  <c r="I63" i="19"/>
  <c r="L63" i="19" s="1"/>
  <c r="I64" i="19"/>
  <c r="L64" i="19" s="1"/>
  <c r="I65" i="19"/>
  <c r="L65" i="19" s="1"/>
  <c r="I66" i="19"/>
  <c r="L66" i="19" s="1"/>
  <c r="I67" i="19"/>
  <c r="L67" i="19" s="1"/>
  <c r="I69" i="19"/>
  <c r="L69" i="19" s="1"/>
  <c r="I70" i="19"/>
  <c r="L70" i="19" s="1"/>
  <c r="I71" i="19"/>
  <c r="L71" i="19" s="1"/>
  <c r="I72" i="19"/>
  <c r="L72" i="19" s="1"/>
  <c r="I73" i="19"/>
  <c r="L73" i="19" s="1"/>
  <c r="I74" i="19"/>
  <c r="L74" i="19" s="1"/>
  <c r="I75" i="19"/>
  <c r="L75" i="19" s="1"/>
  <c r="I76" i="19"/>
  <c r="L76" i="19" s="1"/>
  <c r="I77" i="19"/>
  <c r="L77" i="19" s="1"/>
  <c r="I78" i="19"/>
  <c r="L78" i="19" s="1"/>
  <c r="I79" i="19"/>
  <c r="L79" i="19" s="1"/>
  <c r="I80" i="19"/>
  <c r="L80" i="19" s="1"/>
  <c r="I81" i="19"/>
  <c r="L81" i="19" s="1"/>
  <c r="I82" i="19"/>
  <c r="L82" i="19" s="1"/>
  <c r="I25" i="19"/>
  <c r="L25" i="19" s="1"/>
  <c r="I26" i="19"/>
  <c r="L26" i="19" s="1"/>
  <c r="I27" i="19"/>
  <c r="L27" i="19" s="1"/>
  <c r="I28" i="19"/>
  <c r="L28" i="19" s="1"/>
  <c r="I29" i="19"/>
  <c r="L29" i="19" s="1"/>
  <c r="I30" i="19"/>
  <c r="L30" i="19" s="1"/>
  <c r="I31" i="19"/>
  <c r="L31" i="19" s="1"/>
  <c r="I32" i="19"/>
  <c r="L32" i="19" s="1"/>
  <c r="I33" i="19"/>
  <c r="L33" i="19" s="1"/>
  <c r="I34" i="19"/>
  <c r="L34" i="19" s="1"/>
  <c r="I35" i="19"/>
  <c r="L35" i="19" s="1"/>
  <c r="I36" i="19"/>
  <c r="L36" i="19" s="1"/>
  <c r="I37" i="19"/>
  <c r="L37" i="19" s="1"/>
  <c r="I38" i="19"/>
  <c r="L38" i="19" s="1"/>
  <c r="I39" i="19"/>
  <c r="L39" i="19" s="1"/>
  <c r="I40" i="19"/>
  <c r="L40" i="19" s="1"/>
  <c r="I41" i="19"/>
  <c r="L41" i="19" s="1"/>
  <c r="I42" i="19"/>
  <c r="L42" i="19" s="1"/>
  <c r="I43" i="19"/>
  <c r="L43" i="19" s="1"/>
  <c r="I44" i="19"/>
  <c r="L44" i="19" s="1"/>
  <c r="I45" i="19"/>
  <c r="L45" i="19" s="1"/>
  <c r="I46" i="19"/>
  <c r="L46" i="19" s="1"/>
  <c r="I17" i="17"/>
  <c r="I81" i="2"/>
  <c r="I79" i="2"/>
  <c r="I77" i="2"/>
  <c r="I75" i="2"/>
  <c r="I73" i="2"/>
  <c r="I71" i="2"/>
  <c r="I69" i="2"/>
  <c r="I67" i="2"/>
  <c r="I65" i="2"/>
  <c r="I61" i="2"/>
  <c r="I57" i="2"/>
  <c r="I53" i="2"/>
  <c r="I64" i="2"/>
  <c r="I63" i="2"/>
  <c r="I62" i="2"/>
  <c r="I60" i="2"/>
  <c r="I59" i="2"/>
  <c r="I58" i="2"/>
  <c r="I56" i="2"/>
  <c r="I55" i="2"/>
  <c r="I54" i="2"/>
  <c r="I17" i="2"/>
  <c r="L19" i="31" l="1"/>
  <c r="L20" i="31"/>
  <c r="I17" i="18"/>
  <c r="H47" i="19"/>
  <c r="H83" i="19" s="1"/>
  <c r="H47" i="20"/>
  <c r="H83" i="20" s="1"/>
  <c r="I68" i="27"/>
  <c r="L68" i="27" s="1"/>
  <c r="I68" i="21"/>
  <c r="L68" i="21" s="1"/>
  <c r="I68" i="19"/>
  <c r="L68" i="19" s="1"/>
  <c r="I68" i="28"/>
  <c r="L68" i="28" s="1"/>
  <c r="I69" i="29"/>
  <c r="L69" i="29" s="1"/>
  <c r="H67" i="29"/>
  <c r="I67" i="28"/>
  <c r="L67" i="28" s="1"/>
  <c r="I69" i="28"/>
  <c r="L69" i="28" s="1"/>
  <c r="I59" i="28"/>
  <c r="L59" i="28" s="1"/>
  <c r="I64" i="26"/>
  <c r="L64" i="26" s="1"/>
  <c r="I80" i="29"/>
  <c r="L80" i="29" s="1"/>
  <c r="I71" i="29"/>
  <c r="L71" i="29" s="1"/>
  <c r="I55" i="28"/>
  <c r="L55" i="28" s="1"/>
  <c r="I64" i="27"/>
  <c r="L64" i="27" s="1"/>
  <c r="I64" i="25"/>
  <c r="L64" i="25" s="1"/>
  <c r="I80" i="24"/>
  <c r="L80" i="24" s="1"/>
  <c r="I55" i="29"/>
  <c r="L55" i="29" s="1"/>
  <c r="I71" i="28"/>
  <c r="L71" i="28" s="1"/>
  <c r="I67" i="20"/>
  <c r="L67" i="20" s="1"/>
  <c r="I72" i="26"/>
  <c r="L72" i="26" s="1"/>
  <c r="I56" i="26"/>
  <c r="L56" i="26" s="1"/>
  <c r="I68" i="18"/>
  <c r="L68" i="18" s="1"/>
  <c r="I68" i="20"/>
  <c r="L68" i="20" s="1"/>
  <c r="I72" i="27"/>
  <c r="L72" i="27" s="1"/>
  <c r="I68" i="25"/>
  <c r="L68" i="25" s="1"/>
  <c r="I68" i="30"/>
  <c r="L68" i="30" s="1"/>
  <c r="I68" i="22"/>
  <c r="L68" i="22" s="1"/>
  <c r="I68" i="23"/>
  <c r="L68" i="23" s="1"/>
  <c r="I63" i="29"/>
  <c r="L63" i="29" s="1"/>
  <c r="I61" i="28"/>
  <c r="L61" i="28" s="1"/>
  <c r="I68" i="24"/>
  <c r="L68" i="24" s="1"/>
  <c r="I72" i="18"/>
  <c r="L72" i="18" s="1"/>
  <c r="I56" i="18"/>
  <c r="L56" i="18" s="1"/>
  <c r="I68" i="29"/>
  <c r="L68" i="29" s="1"/>
  <c r="I59" i="29"/>
  <c r="L59" i="29" s="1"/>
  <c r="I68" i="26"/>
  <c r="L68" i="26" s="1"/>
  <c r="I73" i="29"/>
  <c r="L73" i="29" s="1"/>
  <c r="I65" i="29"/>
  <c r="L65" i="29" s="1"/>
  <c r="I57" i="29"/>
  <c r="L57" i="29" s="1"/>
  <c r="H17" i="22"/>
  <c r="H17" i="23" s="1"/>
  <c r="H47" i="21"/>
  <c r="H83" i="21" s="1"/>
  <c r="I74" i="30"/>
  <c r="L74" i="30" s="1"/>
  <c r="I73" i="28"/>
  <c r="L73" i="28" s="1"/>
  <c r="I65" i="28"/>
  <c r="L65" i="28" s="1"/>
  <c r="I57" i="28"/>
  <c r="L57" i="28" s="1"/>
  <c r="J47" i="20"/>
  <c r="J83" i="20" s="1"/>
  <c r="J17" i="21"/>
  <c r="H71" i="31"/>
  <c r="I71" i="31" s="1"/>
  <c r="L71" i="31" s="1"/>
  <c r="I71" i="30"/>
  <c r="L71" i="30" s="1"/>
  <c r="H63" i="31"/>
  <c r="I63" i="31" s="1"/>
  <c r="L63" i="31" s="1"/>
  <c r="I63" i="30"/>
  <c r="L63" i="30" s="1"/>
  <c r="H59" i="31"/>
  <c r="I59" i="31" s="1"/>
  <c r="L59" i="31" s="1"/>
  <c r="I59" i="30"/>
  <c r="L59" i="30" s="1"/>
  <c r="H55" i="31"/>
  <c r="I55" i="31" s="1"/>
  <c r="L55" i="31" s="1"/>
  <c r="I55" i="30"/>
  <c r="L55" i="30" s="1"/>
  <c r="H73" i="31"/>
  <c r="I73" i="31" s="1"/>
  <c r="L73" i="31" s="1"/>
  <c r="I73" i="30"/>
  <c r="L73" i="30" s="1"/>
  <c r="H69" i="31"/>
  <c r="I69" i="31" s="1"/>
  <c r="L69" i="31" s="1"/>
  <c r="I69" i="30"/>
  <c r="L69" i="30" s="1"/>
  <c r="H65" i="31"/>
  <c r="I65" i="31" s="1"/>
  <c r="L65" i="31" s="1"/>
  <c r="I65" i="30"/>
  <c r="L65" i="30" s="1"/>
  <c r="H61" i="31"/>
  <c r="I61" i="31" s="1"/>
  <c r="L61" i="31" s="1"/>
  <c r="I61" i="30"/>
  <c r="L61" i="30" s="1"/>
  <c r="H57" i="31"/>
  <c r="I57" i="31" s="1"/>
  <c r="L57" i="31" s="1"/>
  <c r="I57" i="30"/>
  <c r="L57" i="30" s="1"/>
  <c r="H53" i="31"/>
  <c r="I53" i="31" s="1"/>
  <c r="L53" i="31" s="1"/>
  <c r="I53" i="30"/>
  <c r="L53" i="30" s="1"/>
  <c r="H47" i="18"/>
  <c r="H83" i="18" s="1"/>
  <c r="I17" i="20"/>
  <c r="L17" i="20" s="1"/>
  <c r="L47" i="20" s="1"/>
  <c r="I17" i="21"/>
  <c r="I47" i="21" s="1"/>
  <c r="I83" i="21" s="1"/>
  <c r="I17" i="19"/>
  <c r="I47" i="18"/>
  <c r="L17" i="18"/>
  <c r="L47" i="18" s="1"/>
  <c r="I47" i="17"/>
  <c r="I83" i="17" s="1"/>
  <c r="L17" i="17"/>
  <c r="L47" i="17" s="1"/>
  <c r="L83" i="17" s="1"/>
  <c r="I25" i="2"/>
  <c r="I66" i="2"/>
  <c r="I68" i="2"/>
  <c r="I70" i="2"/>
  <c r="I72" i="2"/>
  <c r="I74" i="2"/>
  <c r="I76" i="2"/>
  <c r="I78" i="2"/>
  <c r="I80" i="2"/>
  <c r="I82" i="2"/>
  <c r="I30" i="2"/>
  <c r="I32" i="2"/>
  <c r="I34" i="2"/>
  <c r="I36" i="2"/>
  <c r="I38" i="2"/>
  <c r="I40" i="2"/>
  <c r="I42" i="2"/>
  <c r="I44" i="2"/>
  <c r="I46" i="2"/>
  <c r="I31" i="2"/>
  <c r="I33" i="2"/>
  <c r="I35" i="2"/>
  <c r="I37" i="2"/>
  <c r="I39" i="2"/>
  <c r="I41" i="2"/>
  <c r="I43" i="2"/>
  <c r="I45" i="2"/>
  <c r="I29" i="2"/>
  <c r="I28" i="2"/>
  <c r="I27" i="2"/>
  <c r="I26" i="2"/>
  <c r="I24" i="2"/>
  <c r="I23" i="2"/>
  <c r="I22" i="2"/>
  <c r="I21" i="2"/>
  <c r="I20" i="2"/>
  <c r="I19" i="2"/>
  <c r="I18" i="2"/>
  <c r="I17" i="22" l="1"/>
  <c r="I47" i="22" s="1"/>
  <c r="I83" i="22" s="1"/>
  <c r="L83" i="20"/>
  <c r="H67" i="30"/>
  <c r="I67" i="29"/>
  <c r="L67" i="29" s="1"/>
  <c r="I83" i="18"/>
  <c r="L83" i="18"/>
  <c r="L17" i="21"/>
  <c r="L47" i="21" s="1"/>
  <c r="L83" i="21" s="1"/>
  <c r="H17" i="24"/>
  <c r="H47" i="23"/>
  <c r="H83" i="23" s="1"/>
  <c r="H47" i="22"/>
  <c r="H83" i="22" s="1"/>
  <c r="J47" i="21"/>
  <c r="J83" i="21" s="1"/>
  <c r="J17" i="22"/>
  <c r="I47" i="20"/>
  <c r="I83" i="20" s="1"/>
  <c r="I17" i="23"/>
  <c r="I47" i="23" s="1"/>
  <c r="I83" i="23" s="1"/>
  <c r="I47" i="19"/>
  <c r="I83" i="19" s="1"/>
  <c r="L17" i="19"/>
  <c r="L47" i="19" s="1"/>
  <c r="L83" i="19" s="1"/>
  <c r="C13" i="1"/>
  <c r="B11" i="1"/>
  <c r="H67" i="31" l="1"/>
  <c r="I67" i="31" s="1"/>
  <c r="L67" i="31" s="1"/>
  <c r="I67" i="30"/>
  <c r="L67" i="30" s="1"/>
  <c r="H17" i="25"/>
  <c r="H47" i="24"/>
  <c r="H83" i="24" s="1"/>
  <c r="I17" i="24"/>
  <c r="I47" i="24" s="1"/>
  <c r="I83" i="24" s="1"/>
  <c r="J17" i="23"/>
  <c r="J47" i="23" s="1"/>
  <c r="J83" i="23" s="1"/>
  <c r="J47" i="22"/>
  <c r="J83" i="22" s="1"/>
  <c r="L17" i="22"/>
  <c r="L47" i="22" s="1"/>
  <c r="L83" i="22" s="1"/>
  <c r="L103" i="1"/>
  <c r="L103" i="30" l="1"/>
  <c r="L103" i="26"/>
  <c r="L103" i="25"/>
  <c r="L103" i="24"/>
  <c r="L103" i="22"/>
  <c r="L103" i="18"/>
  <c r="L103" i="17"/>
  <c r="L103" i="31"/>
  <c r="L103" i="27"/>
  <c r="L103" i="19"/>
  <c r="L103" i="28"/>
  <c r="L103" i="23"/>
  <c r="L103" i="20"/>
  <c r="L103" i="29"/>
  <c r="L103" i="21"/>
  <c r="H17" i="26"/>
  <c r="H47" i="25"/>
  <c r="H83" i="25" s="1"/>
  <c r="I17" i="25"/>
  <c r="I47" i="25" s="1"/>
  <c r="I83" i="25" s="1"/>
  <c r="J17" i="24"/>
  <c r="J47" i="24" s="1"/>
  <c r="J83" i="24" s="1"/>
  <c r="L17" i="23"/>
  <c r="L47" i="23" s="1"/>
  <c r="L83" i="23" s="1"/>
  <c r="L103" i="2"/>
  <c r="I17" i="1"/>
  <c r="H17" i="27" l="1"/>
  <c r="H47" i="26"/>
  <c r="H83" i="26" s="1"/>
  <c r="I17" i="26"/>
  <c r="I47" i="26" s="1"/>
  <c r="I83" i="26" s="1"/>
  <c r="J17" i="25"/>
  <c r="L17" i="24"/>
  <c r="L47" i="24" s="1"/>
  <c r="L83" i="24" s="1"/>
  <c r="D92" i="1"/>
  <c r="D92" i="29" l="1"/>
  <c r="D92" i="21"/>
  <c r="D92" i="28"/>
  <c r="D92" i="30"/>
  <c r="D92" i="26"/>
  <c r="D92" i="25"/>
  <c r="D92" i="24"/>
  <c r="D92" i="22"/>
  <c r="D92" i="18"/>
  <c r="D92" i="17"/>
  <c r="D92" i="31"/>
  <c r="D92" i="27"/>
  <c r="D92" i="19"/>
  <c r="D92" i="23"/>
  <c r="D92" i="20"/>
  <c r="H17" i="28"/>
  <c r="H47" i="27"/>
  <c r="H83" i="27" s="1"/>
  <c r="I17" i="27"/>
  <c r="I47" i="27" s="1"/>
  <c r="I83" i="27" s="1"/>
  <c r="J47" i="25"/>
  <c r="J83" i="25" s="1"/>
  <c r="J17" i="26"/>
  <c r="L17" i="25"/>
  <c r="L47" i="25" s="1"/>
  <c r="L83" i="25" s="1"/>
  <c r="I22" i="1"/>
  <c r="H17" i="29" l="1"/>
  <c r="H47" i="28"/>
  <c r="H83" i="28" s="1"/>
  <c r="I17" i="28"/>
  <c r="I47" i="28" s="1"/>
  <c r="I83" i="28" s="1"/>
  <c r="J17" i="27"/>
  <c r="J47" i="26"/>
  <c r="J83" i="26" s="1"/>
  <c r="L17" i="26"/>
  <c r="L47" i="26" s="1"/>
  <c r="L83" i="26" s="1"/>
  <c r="K47" i="2"/>
  <c r="K83" i="2" s="1"/>
  <c r="J47" i="2"/>
  <c r="J83" i="2" s="1"/>
  <c r="L22" i="2"/>
  <c r="L17" i="2"/>
  <c r="H47" i="29" l="1"/>
  <c r="H83" i="29" s="1"/>
  <c r="H17" i="30"/>
  <c r="I17" i="29"/>
  <c r="I47" i="29" s="1"/>
  <c r="I83" i="29" s="1"/>
  <c r="J47" i="27"/>
  <c r="J83" i="27" s="1"/>
  <c r="J17" i="28"/>
  <c r="L17" i="27"/>
  <c r="L47" i="27" s="1"/>
  <c r="L83" i="27" s="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L17" i="1"/>
  <c r="I18" i="1"/>
  <c r="I19" i="1"/>
  <c r="I20" i="1"/>
  <c r="I46" i="1"/>
  <c r="I45" i="1"/>
  <c r="I44" i="1"/>
  <c r="I43" i="1"/>
  <c r="I42" i="1"/>
  <c r="I41" i="1"/>
  <c r="I40" i="1"/>
  <c r="I39" i="1"/>
  <c r="I38" i="1"/>
  <c r="I37" i="1"/>
  <c r="I36" i="1"/>
  <c r="I35" i="1"/>
  <c r="I34" i="1"/>
  <c r="I33" i="1"/>
  <c r="I32" i="1"/>
  <c r="I31" i="1"/>
  <c r="I30" i="1"/>
  <c r="I29" i="1"/>
  <c r="I28" i="1"/>
  <c r="I27" i="1"/>
  <c r="I26" i="1"/>
  <c r="I25" i="1"/>
  <c r="I24" i="1"/>
  <c r="I23" i="1"/>
  <c r="L22" i="1"/>
  <c r="I21" i="1"/>
  <c r="H17" i="31" l="1"/>
  <c r="H47" i="30"/>
  <c r="H83" i="30" s="1"/>
  <c r="I17" i="30"/>
  <c r="I47" i="30" s="1"/>
  <c r="I83" i="30" s="1"/>
  <c r="J17" i="29"/>
  <c r="J47" i="28"/>
  <c r="J83" i="28" s="1"/>
  <c r="L17" i="28"/>
  <c r="L47" i="28" s="1"/>
  <c r="L83" i="28" s="1"/>
  <c r="L53" i="1"/>
  <c r="L53" i="2"/>
  <c r="L55" i="1"/>
  <c r="L55" i="2"/>
  <c r="L57" i="1"/>
  <c r="L57" i="2"/>
  <c r="L59" i="1"/>
  <c r="L59" i="2"/>
  <c r="L61" i="1"/>
  <c r="L61" i="2"/>
  <c r="L63" i="1"/>
  <c r="L63" i="2"/>
  <c r="L65" i="1"/>
  <c r="L65" i="2"/>
  <c r="L67" i="1"/>
  <c r="L67" i="2"/>
  <c r="L69" i="1"/>
  <c r="L69" i="2"/>
  <c r="L71" i="1"/>
  <c r="L71" i="2"/>
  <c r="L73" i="1"/>
  <c r="L73" i="2"/>
  <c r="L75" i="1"/>
  <c r="L75" i="2"/>
  <c r="L77" i="1"/>
  <c r="L77" i="2"/>
  <c r="L79" i="1"/>
  <c r="L79" i="2"/>
  <c r="L81" i="1"/>
  <c r="L81" i="2"/>
  <c r="L54" i="1"/>
  <c r="L54" i="2"/>
  <c r="L56" i="1"/>
  <c r="L56" i="2"/>
  <c r="L58" i="1"/>
  <c r="L58" i="2"/>
  <c r="L60" i="1"/>
  <c r="L60" i="2"/>
  <c r="L62" i="1"/>
  <c r="L62" i="2"/>
  <c r="L64" i="1"/>
  <c r="L64" i="2"/>
  <c r="L66" i="1"/>
  <c r="L66" i="2"/>
  <c r="L68" i="1"/>
  <c r="L68" i="2"/>
  <c r="L70" i="1"/>
  <c r="L70" i="2"/>
  <c r="L72" i="1"/>
  <c r="L72" i="2"/>
  <c r="L74" i="1"/>
  <c r="L74" i="2"/>
  <c r="L76" i="1"/>
  <c r="L76" i="2"/>
  <c r="L78" i="1"/>
  <c r="L78" i="2"/>
  <c r="L80" i="1"/>
  <c r="L80" i="2"/>
  <c r="L82" i="1"/>
  <c r="L82" i="2"/>
  <c r="L24" i="1"/>
  <c r="L24" i="2"/>
  <c r="L26" i="1"/>
  <c r="L26" i="2"/>
  <c r="L28" i="1"/>
  <c r="L28" i="2"/>
  <c r="L30" i="1"/>
  <c r="L30" i="2"/>
  <c r="L32" i="1"/>
  <c r="L32" i="2"/>
  <c r="L34" i="1"/>
  <c r="L34" i="2"/>
  <c r="L36" i="1"/>
  <c r="L36" i="2"/>
  <c r="L38" i="1"/>
  <c r="L38" i="2"/>
  <c r="L42" i="1"/>
  <c r="L42" i="2"/>
  <c r="L44" i="1"/>
  <c r="L44" i="2"/>
  <c r="L46" i="1"/>
  <c r="L46" i="2"/>
  <c r="L19" i="1"/>
  <c r="L19" i="2"/>
  <c r="L21" i="1"/>
  <c r="L21" i="2"/>
  <c r="L23" i="1"/>
  <c r="L23" i="2"/>
  <c r="L25" i="1"/>
  <c r="L25" i="2"/>
  <c r="L27" i="1"/>
  <c r="L27" i="2"/>
  <c r="L29" i="1"/>
  <c r="L29" i="2"/>
  <c r="L31" i="1"/>
  <c r="L31" i="2"/>
  <c r="L33" i="1"/>
  <c r="L33" i="2"/>
  <c r="L35" i="1"/>
  <c r="L35" i="2"/>
  <c r="L37" i="1"/>
  <c r="L37" i="2"/>
  <c r="L39" i="1"/>
  <c r="L39" i="2"/>
  <c r="L41" i="1"/>
  <c r="L41" i="2"/>
  <c r="L43" i="1"/>
  <c r="L43" i="2"/>
  <c r="L45" i="1"/>
  <c r="L45" i="2"/>
  <c r="L20" i="1"/>
  <c r="L20" i="2"/>
  <c r="L18" i="1"/>
  <c r="L40" i="1"/>
  <c r="L40" i="2"/>
  <c r="J47" i="1"/>
  <c r="J83" i="1" s="1"/>
  <c r="I47" i="1"/>
  <c r="I83" i="1" s="1"/>
  <c r="H47" i="1"/>
  <c r="H83" i="1" s="1"/>
  <c r="G47" i="1"/>
  <c r="G83" i="1" s="1"/>
  <c r="H47" i="31" l="1"/>
  <c r="H83" i="31" s="1"/>
  <c r="I17" i="31"/>
  <c r="I47" i="31" s="1"/>
  <c r="I83" i="31" s="1"/>
  <c r="J17" i="30"/>
  <c r="J47" i="29"/>
  <c r="J83" i="29" s="1"/>
  <c r="L17" i="29"/>
  <c r="L47" i="29" s="1"/>
  <c r="L83" i="29" s="1"/>
  <c r="L18" i="2"/>
  <c r="L47" i="2" s="1"/>
  <c r="L83" i="2" s="1"/>
  <c r="I47" i="2"/>
  <c r="I83" i="2" s="1"/>
  <c r="D92" i="2"/>
  <c r="K47" i="1"/>
  <c r="K83" i="1" s="1"/>
  <c r="J47" i="30" l="1"/>
  <c r="J83" i="30" s="1"/>
  <c r="J17" i="31"/>
  <c r="L17" i="30"/>
  <c r="L47" i="30" s="1"/>
  <c r="L83" i="30" s="1"/>
  <c r="L47" i="1"/>
  <c r="L83" i="1" s="1"/>
  <c r="J47" i="31" l="1"/>
  <c r="J83" i="31" s="1"/>
  <c r="L17" i="31"/>
  <c r="L47" i="31" s="1"/>
  <c r="L83" i="31" s="1"/>
</calcChain>
</file>

<file path=xl/sharedStrings.xml><?xml version="1.0" encoding="utf-8"?>
<sst xmlns="http://schemas.openxmlformats.org/spreadsheetml/2006/main" count="1333" uniqueCount="274">
  <si>
    <t>OWNER'S SWORN STATEMENT - Example of categories for the Construction of a Residential Home</t>
  </si>
  <si>
    <t>Title Company File #</t>
  </si>
  <si>
    <t>Owner:</t>
  </si>
  <si>
    <t>General Contractor Name:</t>
  </si>
  <si>
    <t>Phone #</t>
  </si>
  <si>
    <t xml:space="preserve">Address of </t>
  </si>
  <si>
    <t>Person Submitting:</t>
  </si>
  <si>
    <t>Email address</t>
  </si>
  <si>
    <t xml:space="preserve">   Improvements:</t>
  </si>
  <si>
    <t>(authorized person signing sworn statement)</t>
  </si>
  <si>
    <t>Cell phone #</t>
  </si>
  <si>
    <t>State of Michigan</t>
  </si>
  <si>
    <t>)</t>
  </si>
  <si>
    <t>(2) The following is a statement of each subcontractor and supplier, and laborer for whom payment of wages or fringe benefits and withholdings is due but unpaid, with whom the (contractor) (subcontractor) has (contracted) (subcontracted) for performance under the contract with the owner or lessee of the property, and the amounts due to the persons as of the date of this statement are correctly and fully set forth opposite their names.
(3) The contractor has not procured material from, or subcontracted with, any person other than those set forth and owes no money for the improvement other than the sums set forth.
(4) I make this statement as the (contractor) (subcontractor) or as ____________________ of the (contractor) (subcontractor) to represent to the owner or lessee of the property and his or her agents that the property is free from claims of construction liens, or the possibility of construction liens, except as specifically set forth in this statement except for claims of construction liens by laborers that may be provided under Section 109 of the Construction Lien Act, 1980 PA 497, MCL 570.1109.</t>
  </si>
  <si>
    <t>) ss.</t>
  </si>
  <si>
    <t>County of :</t>
  </si>
  <si>
    <t>(deponent), being sworn, states the following:</t>
  </si>
  <si>
    <t>(1)</t>
  </si>
  <si>
    <t xml:space="preserve">is the (contractor) (subcontractor) for an improvement to the following real </t>
  </si>
  <si>
    <t>property in</t>
  </si>
  <si>
    <t xml:space="preserve">County, Michigan described as follows:  </t>
  </si>
  <si>
    <t>Name of Subcontractor, Supplier or Laborer</t>
  </si>
  <si>
    <t>Address of Subcontractor, Supplier or Laborer</t>
  </si>
  <si>
    <t>Telephone #</t>
  </si>
  <si>
    <t>Type of Improvement Furnished</t>
  </si>
  <si>
    <t>Total Contract Price</t>
  </si>
  <si>
    <t>Adjustment to  Contract Amount ( +/ -)</t>
  </si>
  <si>
    <t>Adjusted Contract Price</t>
  </si>
  <si>
    <t>Amount Already Paid</t>
  </si>
  <si>
    <t>Current Request</t>
  </si>
  <si>
    <t>Balance to Complete</t>
  </si>
  <si>
    <t>ARCHITECTURAL SERVICES</t>
  </si>
  <si>
    <t>ENGINEERING SERVICES</t>
  </si>
  <si>
    <t>EXCAVATING</t>
  </si>
  <si>
    <t>SAND/GRAVEL/BACKFILL</t>
  </si>
  <si>
    <t>BASEMENT WALLS</t>
  </si>
  <si>
    <t>STRUCTURAL STEEL</t>
  </si>
  <si>
    <t>ROUGH LUMBER/TRUSSES</t>
  </si>
  <si>
    <t>FINISH LUMBER</t>
  </si>
  <si>
    <t>ROUGH CARPENTRY</t>
  </si>
  <si>
    <t>FINISH CARPENTRY</t>
  </si>
  <si>
    <t>WINDOWS &amp; DOORS</t>
  </si>
  <si>
    <t>ROOFING LABOR / MATERIALS</t>
  </si>
  <si>
    <t>INSULATION</t>
  </si>
  <si>
    <t>BRICK / STUCCO</t>
  </si>
  <si>
    <t>MASON LABOR / MATERIAL</t>
  </si>
  <si>
    <t>SIDING / GUTTERS</t>
  </si>
  <si>
    <t>ROUGH PLUMBING</t>
  </si>
  <si>
    <t>FINISH PLUMBING</t>
  </si>
  <si>
    <t>ROUGH ELECTRICAL</t>
  </si>
  <si>
    <t>FINISH ELECTRICAL</t>
  </si>
  <si>
    <t>DRYWALL LABOR</t>
  </si>
  <si>
    <t>DRYWALL MATERIAL</t>
  </si>
  <si>
    <t>CEMENT WORK - INSIDE</t>
  </si>
  <si>
    <t>CEMENT WORK - OUTSIDE</t>
  </si>
  <si>
    <t>ROUGH HEATING / AIR</t>
  </si>
  <si>
    <t>FINISH HEATING / AIR</t>
  </si>
  <si>
    <t>CERAMIC TILE</t>
  </si>
  <si>
    <t>PAINTING LABOR / MATERIALS</t>
  </si>
  <si>
    <t>KITCHEN CABINETS</t>
  </si>
  <si>
    <t>COUNTERTOPS</t>
  </si>
  <si>
    <t>SUBTOTALS</t>
  </si>
  <si>
    <r>
      <rPr>
        <b/>
        <sz val="9"/>
        <color theme="1"/>
        <rFont val="Calibri"/>
        <family val="2"/>
        <scheme val="minor"/>
      </rPr>
      <t>WARNING TO OWNER OR LESSEE:</t>
    </r>
    <r>
      <rPr>
        <sz val="9"/>
        <color theme="1"/>
        <rFont val="Calibri"/>
        <family val="2"/>
        <scheme val="minor"/>
      </rPr>
      <t xml:space="preserve">  An owner or lessee of the property may not rely on this sworn statement to avoid the claim of a subcontractor, supplier, or laborer who has provided a Notice of Furnishing or a laborer who may provide a Notice of Furnishing under Section 109 of the Construction Lien Act, 1980 PA 497, MCL 570.1109, to the designee or to the owner or lessee if the designee is not named or has died.</t>
    </r>
  </si>
  <si>
    <t>GARAGE DOOR</t>
  </si>
  <si>
    <t>FINAL GRADING</t>
  </si>
  <si>
    <t>ELECTRICAL FIXTURES</t>
  </si>
  <si>
    <t>CARPETING</t>
  </si>
  <si>
    <t>FLOOR COVERING</t>
  </si>
  <si>
    <t>BUILT IN APPLIANCES</t>
  </si>
  <si>
    <t>WELL</t>
  </si>
  <si>
    <t>SEPTIC</t>
  </si>
  <si>
    <t>FIREPLACE</t>
  </si>
  <si>
    <t>DRIVEWAY PAVING</t>
  </si>
  <si>
    <t>PERMITS</t>
  </si>
  <si>
    <t>PAYOFFS</t>
  </si>
  <si>
    <t>LAND PURCHASE</t>
  </si>
  <si>
    <t>LANDSCAPING</t>
  </si>
  <si>
    <t>SIGNAGE</t>
  </si>
  <si>
    <t>Total</t>
  </si>
  <si>
    <r>
      <t xml:space="preserve">If this sworn statement is in regard to a residential structure (defined as </t>
    </r>
    <r>
      <rPr>
        <i/>
        <sz val="9"/>
        <color theme="1"/>
        <rFont val="Calibri"/>
        <family val="2"/>
        <scheme val="minor"/>
      </rPr>
      <t>"an individual residential condominium unit or a residential building containing not more than 2 residential units,</t>
    </r>
  </si>
  <si>
    <t>the land on which it is or will be located, and all appurtenances, in which the owner or lessee contracting for the improvement is residing or will reside upon completion of the improvement"), on</t>
  </si>
  <si>
    <t>receipt of this sworn statement, the owner or lessee, or the owner's or lessee's designee must give notice of its receipt, either in writing, or by telephone, or personally, to each subcontractor,</t>
  </si>
  <si>
    <t xml:space="preserve">supplier, and laborer who has provided a Notice of Furnishing under Section 109 or, if a Notice of Furnishing is excused under Section 108 or 108A, to each subcontractor, supplier, and </t>
  </si>
  <si>
    <t xml:space="preserve">laborer named in the sworn statement.  If a subcontractor, supplier, or laborer who has provided a Notice of Furnishing or who is named in the sworn statement makes a request, the </t>
  </si>
  <si>
    <t>owner, lessee, or designee shall provide the requester a copy of the sworn statement within 10 business days after receiving the request.</t>
  </si>
  <si>
    <t>(DEPONENT)</t>
  </si>
  <si>
    <t>DATE</t>
  </si>
  <si>
    <r>
      <rPr>
        <b/>
        <sz val="10"/>
        <color theme="1"/>
        <rFont val="Calibri"/>
        <family val="2"/>
        <scheme val="minor"/>
      </rPr>
      <t xml:space="preserve">WARNING TO DEPONENT: </t>
    </r>
    <r>
      <rPr>
        <sz val="10"/>
        <color theme="1"/>
        <rFont val="Calibri"/>
        <family val="2"/>
        <scheme val="minor"/>
      </rPr>
      <t xml:space="preserve"> A person gives a false sworn statement with intent to defraud is </t>
    </r>
  </si>
  <si>
    <t>subject to criminal penalties as provided in Section 110 of the Construction Lien Act, 1980 PA 497, MCL570.1110.</t>
  </si>
  <si>
    <t>Subscribed and sworn to before me on</t>
  </si>
  <si>
    <t xml:space="preserve">  (date) by</t>
  </si>
  <si>
    <t>Notary Signature</t>
  </si>
  <si>
    <t xml:space="preserve">Notary Public </t>
  </si>
  <si>
    <t xml:space="preserve"> County, Michigan</t>
  </si>
  <si>
    <t>My Commission expires:</t>
  </si>
  <si>
    <t>How to use this Sworn Statement Template</t>
  </si>
  <si>
    <t>NOTE:  Microsoft Excel is required to use this Sworn Statement.</t>
  </si>
  <si>
    <t>Entering Information:</t>
  </si>
  <si>
    <t xml:space="preserve">    1.  Many tabs (worksheets) are located on the bottom of the file:</t>
  </si>
  <si>
    <t xml:space="preserve">     - Example of Residential Sworn Statement</t>
  </si>
  <si>
    <t xml:space="preserve">     - How to Use Sworn Statement template</t>
  </si>
  <si>
    <t xml:space="preserve">     - Master Sworn Statement</t>
  </si>
  <si>
    <t xml:space="preserve">     - Draw 1</t>
  </si>
  <si>
    <t xml:space="preserve">     - Draw 2</t>
  </si>
  <si>
    <t xml:space="preserve">     - Draw 16</t>
  </si>
  <si>
    <t xml:space="preserve">     - Partial Waiver</t>
  </si>
  <si>
    <t xml:space="preserve">     - Full Waiver</t>
  </si>
  <si>
    <t>(Use the arrows on the bottom left of the workbook to scroll and access all tabs.)</t>
  </si>
  <si>
    <r>
      <t xml:space="preserve">2.      Start on the </t>
    </r>
    <r>
      <rPr>
        <b/>
        <u/>
        <sz val="11"/>
        <color theme="1"/>
        <rFont val="Calibri"/>
        <family val="2"/>
        <scheme val="minor"/>
      </rPr>
      <t>MASTER</t>
    </r>
    <r>
      <rPr>
        <sz val="11"/>
        <color theme="1"/>
        <rFont val="Calibri"/>
        <family val="2"/>
        <scheme val="minor"/>
      </rPr>
      <t xml:space="preserve"> tab and enter all of the information.  You can use the &lt;Tab&gt; </t>
    </r>
  </si>
  <si>
    <t xml:space="preserve">      Key to navigate through the document.  Enter the following:     </t>
  </si>
  <si>
    <t>a.</t>
  </si>
  <si>
    <t>Owner Name</t>
  </si>
  <si>
    <t>b.</t>
  </si>
  <si>
    <t>Contractor Information</t>
  </si>
  <si>
    <t>i.      Company Name</t>
  </si>
  <si>
    <t>ii.      Name of Person submitting sworn statement</t>
  </si>
  <si>
    <t>iii.      Phone #</t>
  </si>
  <si>
    <r>
      <t xml:space="preserve">iv.      </t>
    </r>
    <r>
      <rPr>
        <sz val="11"/>
        <color theme="1"/>
        <rFont val="Calibri"/>
        <family val="2"/>
        <scheme val="minor"/>
      </rPr>
      <t>Email address</t>
    </r>
  </si>
  <si>
    <t>v.      Cell phone #</t>
  </si>
  <si>
    <t>c.</t>
  </si>
  <si>
    <t>Address of the property where construction will take place</t>
  </si>
  <si>
    <t>d.</t>
  </si>
  <si>
    <t>County where sworn statement will be Notarized</t>
  </si>
  <si>
    <t>e.</t>
  </si>
  <si>
    <t>County Property located in</t>
  </si>
  <si>
    <t>f.</t>
  </si>
  <si>
    <t>Names of all Subcontractor, Supplier, or Laborer</t>
  </si>
  <si>
    <t>g.</t>
  </si>
  <si>
    <t>Addresses of all Subcontractor, Supplier, or Laborer</t>
  </si>
  <si>
    <t>h.</t>
  </si>
  <si>
    <t>Telephone numbers of all Subcontractor, Supplier, or Laborer</t>
  </si>
  <si>
    <t>Total Contract Price – should not be changed once initial statement has been submitted</t>
  </si>
  <si>
    <t>j.</t>
  </si>
  <si>
    <t xml:space="preserve">Adjustments – the amount of any change to the initial contract price should be entered in this </t>
  </si>
  <si>
    <t>column. For increases to the contract price, enter the additional amount.  For decreases,</t>
  </si>
  <si>
    <t>enter (-) and the amount (i.e. -200 to subtract $200 from initial contract amount)</t>
  </si>
  <si>
    <t>k.</t>
  </si>
  <si>
    <t>Amount Already Paid – Enter the amounts already paid by the owner prior to first draw</t>
  </si>
  <si>
    <t>l.</t>
  </si>
  <si>
    <t xml:space="preserve">Current Request Column is not available on the Initial Sworn Statement – Amounts requested </t>
  </si>
  <si>
    <t>must be entered on the specific draw tabs</t>
  </si>
  <si>
    <t>3.  For each draw requested, Click on the corresponding Draw tab based on the Draw #:</t>
  </si>
  <si>
    <r>
      <t xml:space="preserve">Total Contract Price – </t>
    </r>
    <r>
      <rPr>
        <b/>
        <i/>
        <sz val="11"/>
        <color theme="1"/>
        <rFont val="Calibri"/>
        <family val="2"/>
        <scheme val="minor"/>
      </rPr>
      <t>is not to be changed</t>
    </r>
    <r>
      <rPr>
        <sz val="11"/>
        <color theme="1"/>
        <rFont val="Calibri"/>
        <family val="2"/>
        <scheme val="minor"/>
      </rPr>
      <t xml:space="preserve"> once initial statement has been submitted</t>
    </r>
  </si>
  <si>
    <t xml:space="preserve">Adjustments – the amount of any change to the initial contract price is added or subtracted </t>
  </si>
  <si>
    <t xml:space="preserve">      on the Draw tab.  The Adjusted Contract Price column will increase or decrease by the   Additional line items (added after initial statement has been submitted) must be</t>
  </si>
  <si>
    <t xml:space="preserve">on the Draw tab.  The Adjusted Contract Price column will increase or decrease by the   </t>
  </si>
  <si>
    <t xml:space="preserve">amount input in the Adjustments column.   Please offset any adjustment amount with an </t>
  </si>
  <si>
    <t>adjustment to the Contingency line item in order to keep the net sum of the Adjustments</t>
  </si>
  <si>
    <t xml:space="preserve">column at $0.  </t>
  </si>
  <si>
    <t xml:space="preserve">If you need to add additional line items on subsequent draws (added after initial statement </t>
  </si>
  <si>
    <t xml:space="preserve">      added in the adjustments column (not the contract price column).</t>
  </si>
  <si>
    <t>has been submitted) please add the names on the Master tab.   THEN return to the draw tab #</t>
  </si>
  <si>
    <t xml:space="preserve"> corresponding to the current draw and add the dollar amount for the contract in the</t>
  </si>
  <si>
    <t xml:space="preserve">"Adjustments" column.  </t>
  </si>
  <si>
    <t>Amount Already Paid is calculated based on amounts of previous draws.</t>
  </si>
  <si>
    <t>Current Request – enter amounts owed for each Improvement Furnished.</t>
  </si>
  <si>
    <t>Balance to Complete – this column will calculate automatically.</t>
  </si>
  <si>
    <t>Using Additional Tabs</t>
  </si>
  <si>
    <r>
      <t xml:space="preserve">1.  </t>
    </r>
    <r>
      <rPr>
        <u/>
        <sz val="11"/>
        <color theme="1"/>
        <rFont val="Calibri"/>
        <family val="2"/>
        <scheme val="minor"/>
      </rPr>
      <t>Partial Waivers</t>
    </r>
    <r>
      <rPr>
        <sz val="11"/>
        <color theme="1"/>
        <rFont val="Calibri"/>
        <family val="2"/>
        <scheme val="minor"/>
      </rPr>
      <t xml:space="preserve"> are usually completed by contractor.  Subcontractor will sign this form if they received </t>
    </r>
  </si>
  <si>
    <t xml:space="preserve">     a partial payment for work completed/supplies furnished.  If the subcontractor information is entered </t>
  </si>
  <si>
    <t xml:space="preserve">     on the sworn statement, then their information can be pulled onto the form.  (Auto form currently</t>
  </si>
  <si>
    <t xml:space="preserve">     not available.)</t>
  </si>
  <si>
    <r>
      <t xml:space="preserve">2.  </t>
    </r>
    <r>
      <rPr>
        <u/>
        <sz val="11"/>
        <color theme="1"/>
        <rFont val="Calibri"/>
        <family val="2"/>
        <scheme val="minor"/>
      </rPr>
      <t>Full Waivers</t>
    </r>
    <r>
      <rPr>
        <sz val="11"/>
        <color theme="1"/>
        <rFont val="Calibri"/>
        <family val="2"/>
        <scheme val="minor"/>
      </rPr>
      <t xml:space="preserve"> are usually completed by contractor.  Subcontractor will sign this form if they received</t>
    </r>
  </si>
  <si>
    <t xml:space="preserve">      full payment for work completed/supplies furnished.  If the subcontractor information is entered </t>
  </si>
  <si>
    <t xml:space="preserve">      on the sworn statement, then their information can be pulled onto the form.  (Auto form currently</t>
  </si>
  <si>
    <t>Please note, the information provided herein does not constitute legal advice.  For legal advice, please consult</t>
  </si>
  <si>
    <t>your attorney.</t>
  </si>
  <si>
    <t>OWNER'S SWORN STATEMENT</t>
  </si>
  <si>
    <t>Wolven Investments LLC</t>
  </si>
  <si>
    <t>Jeff Klaasen</t>
  </si>
  <si>
    <t>43 North Phase 2</t>
  </si>
  <si>
    <t>County of:</t>
  </si>
  <si>
    <t>Kent</t>
  </si>
  <si>
    <t>Wolven Investmens LLC</t>
  </si>
  <si>
    <t>Jack Dykstra Excavating</t>
  </si>
  <si>
    <t>3677 3 Mile Rd., Grand Rapids, MI 49534</t>
  </si>
  <si>
    <t>616-453-4827</t>
  </si>
  <si>
    <t>GC Contract Amount</t>
  </si>
  <si>
    <t>Roosien &amp; Associaties</t>
  </si>
  <si>
    <t>5055 Plainfield Ave., Grand Rapids, MI 49525</t>
  </si>
  <si>
    <t>616-361-7220</t>
  </si>
  <si>
    <t xml:space="preserve"> Engineering Services</t>
  </si>
  <si>
    <t>Soils and Structures</t>
  </si>
  <si>
    <t>6480 Grand Haven Rd Muskegon MI 49441</t>
  </si>
  <si>
    <t>1-800-933-3959</t>
  </si>
  <si>
    <t>Engineering Services</t>
  </si>
  <si>
    <t>Handicap Sign</t>
  </si>
  <si>
    <t>1142 Wealthy St., Grand Rapids, MI 49506</t>
  </si>
  <si>
    <t>616-454-9416</t>
  </si>
  <si>
    <t>Common Area Improvements</t>
  </si>
  <si>
    <t>Rosendall Well Drilling</t>
  </si>
  <si>
    <t>4181 Knapp, Grand Rapids, MI 49525</t>
  </si>
  <si>
    <t>616-363-2683</t>
  </si>
  <si>
    <t>Lansing, MI 48909</t>
  </si>
  <si>
    <t>Permits and Fees</t>
  </si>
  <si>
    <t>Kent County Health Department</t>
  </si>
  <si>
    <t>700 Fuller Ave., Grand Rapids, MI 49503</t>
  </si>
  <si>
    <t>616-632-7100</t>
  </si>
  <si>
    <t>Kent County Road Commission</t>
  </si>
  <si>
    <t>1500 Scribner, Grand Rapids, MI 49504</t>
  </si>
  <si>
    <t>616-242-6900</t>
  </si>
  <si>
    <t>Kent County Drain Commission</t>
  </si>
  <si>
    <t>616-632-7910</t>
  </si>
  <si>
    <t>Algoma Township</t>
  </si>
  <si>
    <t>10531 Algoma Ave., Rockford, MI 49341</t>
  </si>
  <si>
    <t>616-866-1583</t>
  </si>
  <si>
    <t>Electric, Gas, Street Lights</t>
  </si>
  <si>
    <t>Consumers Energy</t>
  </si>
  <si>
    <t>530 W Willow St. Lansing MI 48909</t>
  </si>
  <si>
    <t>616-530-4210</t>
  </si>
  <si>
    <t>DTE Energy</t>
  </si>
  <si>
    <t>4420 44th St., Grand Rapids, MI 49512</t>
  </si>
  <si>
    <t>616-278-4720</t>
  </si>
  <si>
    <t>Professional Services</t>
  </si>
  <si>
    <t>Rhodes Mckee</t>
  </si>
  <si>
    <t>55 Campau Ave. Grand Rapids MI 49503</t>
  </si>
  <si>
    <t>616-235-3500</t>
  </si>
  <si>
    <t>Contingency</t>
  </si>
  <si>
    <t>Interest Carry</t>
  </si>
  <si>
    <t>Land</t>
  </si>
  <si>
    <t>OWNER'S SWORN STATEMENT - Draw #1</t>
  </si>
  <si>
    <t>OWNER'S SWORN STATEMENT - Draw #2</t>
  </si>
  <si>
    <t>OWNER'S SWORN STATEMENT - Draw #3</t>
  </si>
  <si>
    <t>OWNER'S SWORN STATEMENT - Draw #4</t>
  </si>
  <si>
    <t>OWNER'S SWORN STATEMENT - Draw #5</t>
  </si>
  <si>
    <t>OWNER'S SWORN STATEMENT - Draw #6</t>
  </si>
  <si>
    <t>OWNER'S SWORN STATEMENT - Draw #7</t>
  </si>
  <si>
    <t>OWNER'S SWORN STATEMENT - Draw #8</t>
  </si>
  <si>
    <t>OWNER'S SWORN STATEMENT - Draw #9</t>
  </si>
  <si>
    <t>OWNER'S SWORN STATEMENT - Draw #10</t>
  </si>
  <si>
    <t>OWNER'S SWORN STATEMENT - Draw #11</t>
  </si>
  <si>
    <t>OWNER'S SWORN STATEMENT - Draw #12</t>
  </si>
  <si>
    <t>OWNER'S SWORN STATEMENT - Draw #13</t>
  </si>
  <si>
    <t>OWNER'S SWORN STATEMENT - Draw #14</t>
  </si>
  <si>
    <t>OWNER'S SWORN STATEMENT - Draw #15</t>
  </si>
  <si>
    <t>OWNER'S SWORN STATEMENT - Draw #16</t>
  </si>
  <si>
    <t>PARTIAL UNCONDITIONAL WAIVER OF LIEN</t>
  </si>
  <si>
    <t xml:space="preserve">I/We have a contract with </t>
  </si>
  <si>
    <t>General Contractor or Owner of Property</t>
  </si>
  <si>
    <t>to provide</t>
  </si>
  <si>
    <t xml:space="preserve">  for the improvements of the</t>
  </si>
  <si>
    <t>Type of service or product provided</t>
  </si>
  <si>
    <t xml:space="preserve">property located at </t>
  </si>
  <si>
    <t>Address of property on sworn statement</t>
  </si>
  <si>
    <t xml:space="preserve">and by signing this waiver, waive my/our construction lien to the amount of </t>
  </si>
  <si>
    <t>$</t>
  </si>
  <si>
    <t xml:space="preserve"> for labor/material provided through </t>
  </si>
  <si>
    <t>amount received for service/product provided</t>
  </si>
  <si>
    <t>(date)</t>
  </si>
  <si>
    <t xml:space="preserve">This waiver, together with all previous waivers, if any, (circle one)  does/does not  cover all </t>
  </si>
  <si>
    <t>amount due to me/us for contract improvement provided through the date shown above.</t>
  </si>
  <si>
    <t>IF THE IMPROVEMENT IS PROVIDED TO PROPERTY THAT IS A RESIDENTIAL STRUCTURE (defined as</t>
  </si>
  <si>
    <t>"an individual residential condominium unit or a residential building containing not more than 2</t>
  </si>
  <si>
    <t>residential units, the land on which it is or will be located, and all appurtenances, in which the</t>
  </si>
  <si>
    <t xml:space="preserve">owner or lessee contracting for improvement is residing or will reside upon completion of the </t>
  </si>
  <si>
    <t>improvement"), AND IF THE OWNER OR LESSEE OF THE PROPERTY OR THE OWNER'S OR LESSEE'S</t>
  </si>
  <si>
    <t>DESIGNEE HAS RECEIVED A NOTICE OF FURNISHING FROM ME/ONE OF US OR IF I/WE ARE NOT</t>
  </si>
  <si>
    <t>REQUIRED TO PROVIDE ONE, AND THE OWNER, LESSEE, OR DESIGNEE HAS NOT RECEIVED THIS</t>
  </si>
  <si>
    <t>WAIVER DIRECTLY FROM ME/ONE OF US, THE OWNER, LESSEE, OR DESIGNEE MAY NOT RELY UPON</t>
  </si>
  <si>
    <t>IT WITHOUT CONTACTING ME/ONE OF US, EITHER IN WRITING, BY TELEPHONE, OR PERSONALLY</t>
  </si>
  <si>
    <t>TO VERIFY THAT IT IS AUTHENTIC.</t>
  </si>
  <si>
    <t>Signed on:</t>
  </si>
  <si>
    <t>Company Name</t>
  </si>
  <si>
    <t>by:</t>
  </si>
  <si>
    <t>Signature of lien claimant</t>
  </si>
  <si>
    <t>its:</t>
  </si>
  <si>
    <t>Title</t>
  </si>
  <si>
    <t>Address:</t>
  </si>
  <si>
    <t>DO NOT SIGN BLANK OR INCOMPLETE FORMS.  RETAIN A COPY.</t>
  </si>
  <si>
    <t>FULL UNCONDITIONAL WAIVER OF LIEN</t>
  </si>
  <si>
    <t>having been fully paid and satisfied.  By signing this waiver, all my/our construction lien rights</t>
  </si>
  <si>
    <t>against the described property are hereby waived and released.</t>
  </si>
  <si>
    <t xml:space="preserve">Do not include any invoice numbers, dollar amounts or through dates.  </t>
  </si>
  <si>
    <t>If you need to disclose these, please fill out the Partial Unconditional Lien Waiver.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</si>
</sst>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20"/>
      <color theme="1"/>
      <name val="Calibri"/>
      <family val="2"/>
      <scheme val="minor"/>
    </font>
    <font>
      <b/>
      <sz val="11"/>
      <color theme="1"/>
      <name val="Calibri"/>
      <family val="2"/>
      <scheme val="minor"/>
    </font>
    <font>
      <sz val="8"/>
      <color theme="1"/>
      <name val="Calibri"/>
      <family val="2"/>
      <scheme val="minor"/>
    </font>
    <font>
      <i/>
      <sz val="10"/>
      <color theme="1"/>
      <name val="Calibri"/>
      <family val="2"/>
      <scheme val="minor"/>
    </font>
    <font>
      <u/>
      <sz val="11"/>
      <color theme="10"/>
      <name val="Calibri"/>
      <family val="2"/>
      <scheme val="minor"/>
    </font>
    <font>
      <b/>
      <sz val="12"/>
      <color theme="1"/>
      <name val="Calibri"/>
      <family val="2"/>
      <scheme val="minor"/>
    </font>
    <font>
      <b/>
      <sz val="18"/>
      <color theme="1"/>
      <name val="Calibri"/>
      <family val="2"/>
      <scheme val="minor"/>
    </font>
    <font>
      <b/>
      <u/>
      <sz val="11"/>
      <color theme="1"/>
      <name val="Calibri"/>
      <family val="2"/>
      <scheme val="minor"/>
    </font>
    <font>
      <b/>
      <sz val="9"/>
      <color theme="1"/>
      <name val="Calibri"/>
      <family val="2"/>
      <scheme val="minor"/>
    </font>
    <font>
      <i/>
      <sz val="9"/>
      <color theme="1"/>
      <name val="Calibri"/>
      <family val="2"/>
      <scheme val="minor"/>
    </font>
    <font>
      <b/>
      <sz val="10"/>
      <color theme="1"/>
      <name val="Calibri"/>
      <family val="2"/>
      <scheme val="minor"/>
    </font>
    <font>
      <u/>
      <sz val="18"/>
      <color theme="1"/>
      <name val="Times New Roman"/>
      <family val="1"/>
    </font>
    <font>
      <sz val="12"/>
      <color theme="1"/>
      <name val="Times New Roman"/>
      <family val="1"/>
    </font>
    <font>
      <sz val="16"/>
      <color theme="1"/>
      <name val="Times New Roman"/>
      <family val="1"/>
    </font>
    <font>
      <b/>
      <u/>
      <sz val="12"/>
      <color theme="1"/>
      <name val="Times New Roman"/>
      <family val="1"/>
    </font>
    <font>
      <u/>
      <sz val="11"/>
      <color theme="1"/>
      <name val="Calibri"/>
      <family val="2"/>
      <scheme val="minor"/>
    </font>
    <font>
      <b/>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2" xfId="0" applyBorder="1"/>
    <xf numFmtId="0" fontId="1" fillId="0" borderId="3" xfId="0" applyFont="1" applyBorder="1" applyAlignment="1">
      <alignment horizontal="center" wrapText="1"/>
    </xf>
    <xf numFmtId="0" fontId="0" fillId="0" borderId="0" xfId="0" applyAlignment="1">
      <alignment horizontal="right"/>
    </xf>
    <xf numFmtId="0" fontId="0" fillId="0" borderId="5" xfId="0" applyBorder="1"/>
    <xf numFmtId="0" fontId="6" fillId="0" borderId="0" xfId="0" applyFont="1"/>
    <xf numFmtId="0" fontId="0" fillId="0" borderId="5"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2" xfId="0" applyFont="1" applyBorder="1" applyAlignment="1">
      <alignment horizontal="center"/>
    </xf>
    <xf numFmtId="44" fontId="0" fillId="0" borderId="2" xfId="0" applyNumberFormat="1" applyBorder="1"/>
    <xf numFmtId="44" fontId="0" fillId="0" borderId="2" xfId="0" applyNumberFormat="1" applyBorder="1" applyProtection="1">
      <protection locked="0"/>
    </xf>
    <xf numFmtId="0" fontId="1" fillId="0" borderId="0" xfId="0" applyFont="1" applyAlignment="1">
      <alignment horizontal="center"/>
    </xf>
    <xf numFmtId="0" fontId="2" fillId="0" borderId="0" xfId="0" applyFont="1"/>
    <xf numFmtId="0" fontId="1" fillId="0" borderId="0" xfId="0" applyFont="1" applyAlignment="1">
      <alignment horizontal="right"/>
    </xf>
    <xf numFmtId="0" fontId="3" fillId="0" borderId="0" xfId="0" applyFont="1"/>
    <xf numFmtId="0" fontId="7" fillId="0" borderId="0" xfId="0" applyFont="1"/>
    <xf numFmtId="44" fontId="5" fillId="0" borderId="2" xfId="0" applyNumberFormat="1" applyFont="1" applyBorder="1"/>
    <xf numFmtId="0" fontId="5" fillId="0" borderId="0" xfId="0" applyFont="1" applyAlignment="1">
      <alignment horizontal="right"/>
    </xf>
    <xf numFmtId="0" fontId="5" fillId="0" borderId="0" xfId="0" applyFont="1"/>
    <xf numFmtId="0" fontId="0" fillId="0" borderId="6" xfId="0" applyBorder="1"/>
    <xf numFmtId="0" fontId="6" fillId="0" borderId="0" xfId="0" applyFont="1" applyAlignment="1">
      <alignment horizontal="center"/>
    </xf>
    <xf numFmtId="0" fontId="0" fillId="0" borderId="5" xfId="0" applyBorder="1" applyAlignment="1" applyProtection="1">
      <alignment horizontal="center"/>
      <protection locked="0"/>
    </xf>
    <xf numFmtId="0" fontId="0" fillId="0" borderId="5" xfId="0" applyBorder="1" applyProtection="1">
      <protection locked="0"/>
    </xf>
    <xf numFmtId="0" fontId="8" fillId="0" borderId="5" xfId="1" applyBorder="1" applyAlignment="1" applyProtection="1">
      <alignment horizontal="center"/>
      <protection locked="0"/>
    </xf>
    <xf numFmtId="0" fontId="0" fillId="0" borderId="4" xfId="0" applyBorder="1" applyProtection="1">
      <protection locked="0"/>
    </xf>
    <xf numFmtId="0" fontId="0" fillId="0" borderId="2" xfId="0" applyBorder="1" applyAlignment="1" applyProtection="1">
      <alignment horizontal="center"/>
      <protection locked="0"/>
    </xf>
    <xf numFmtId="0" fontId="9" fillId="0" borderId="0" xfId="0" applyFont="1" applyAlignment="1">
      <alignment horizontal="left" vertical="top"/>
    </xf>
    <xf numFmtId="0" fontId="1" fillId="0" borderId="0" xfId="0" applyFont="1" applyAlignment="1">
      <alignment horizontal="left" vertical="top"/>
    </xf>
    <xf numFmtId="0" fontId="9" fillId="0" borderId="0" xfId="0" applyFont="1" applyAlignment="1">
      <alignment horizontal="right"/>
    </xf>
    <xf numFmtId="0" fontId="0" fillId="0" borderId="7" xfId="0" applyBorder="1" applyAlignment="1">
      <alignment horizontal="right"/>
    </xf>
    <xf numFmtId="0" fontId="0" fillId="0" borderId="4" xfId="0" applyBorder="1" applyAlignment="1" applyProtection="1">
      <alignment horizontal="center"/>
      <protection locked="0"/>
    </xf>
    <xf numFmtId="0" fontId="9" fillId="0" borderId="0" xfId="0" applyFont="1" applyAlignment="1">
      <alignment horizontal="right" vertical="top"/>
    </xf>
    <xf numFmtId="0" fontId="2" fillId="0" borderId="0" xfId="0" quotePrefix="1" applyFont="1" applyAlignment="1">
      <alignment horizontal="right"/>
    </xf>
    <xf numFmtId="0" fontId="9" fillId="0" borderId="0" xfId="0" applyFont="1" applyAlignment="1">
      <alignment horizontal="left"/>
    </xf>
    <xf numFmtId="0" fontId="13" fillId="0" borderId="0" xfId="0" applyFont="1"/>
    <xf numFmtId="0" fontId="0" fillId="0" borderId="2" xfId="0" applyBorder="1" applyAlignment="1">
      <alignment horizontal="left"/>
    </xf>
    <xf numFmtId="0" fontId="0" fillId="0" borderId="0" xfId="0" applyAlignment="1">
      <alignment horizontal="left"/>
    </xf>
    <xf numFmtId="0" fontId="8" fillId="0" borderId="5" xfId="1" applyBorder="1" applyAlignment="1" applyProtection="1">
      <alignment horizontal="center"/>
    </xf>
    <xf numFmtId="0" fontId="0" fillId="0" borderId="4" xfId="0" applyBorder="1"/>
    <xf numFmtId="0" fontId="0" fillId="0" borderId="4" xfId="0" applyBorder="1" applyAlignment="1">
      <alignment horizontal="center"/>
    </xf>
    <xf numFmtId="0" fontId="16" fillId="0" borderId="0" xfId="0" applyFont="1" applyAlignment="1">
      <alignment vertical="center"/>
    </xf>
    <xf numFmtId="0" fontId="18" fillId="0" borderId="0" xfId="0" applyFont="1" applyAlignment="1">
      <alignment vertical="center"/>
    </xf>
    <xf numFmtId="0" fontId="0" fillId="0" borderId="0" xfId="0" applyAlignment="1">
      <alignment vertical="center"/>
    </xf>
    <xf numFmtId="0" fontId="0" fillId="0" borderId="0" xfId="0" applyAlignment="1">
      <alignment horizontal="left" vertical="center" indent="2"/>
    </xf>
    <xf numFmtId="0" fontId="0" fillId="0" borderId="0" xfId="0" applyAlignment="1">
      <alignment horizontal="left" vertical="center" indent="5"/>
    </xf>
    <xf numFmtId="0" fontId="0" fillId="0" borderId="0" xfId="0" applyAlignment="1">
      <alignment horizontal="left" vertical="center" indent="10"/>
    </xf>
    <xf numFmtId="0" fontId="0" fillId="0" borderId="6" xfId="0" applyBorder="1" applyAlignment="1">
      <alignment horizontal="center"/>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6" xfId="0" applyBorder="1" applyAlignment="1" applyProtection="1">
      <alignment horizontal="center"/>
      <protection locked="0"/>
    </xf>
    <xf numFmtId="0" fontId="0" fillId="0" borderId="11" xfId="0" applyBorder="1" applyAlignment="1">
      <alignment horizontal="center"/>
    </xf>
    <xf numFmtId="0" fontId="0" fillId="0" borderId="12" xfId="0" applyBorder="1" applyAlignment="1">
      <alignment horizontal="center"/>
    </xf>
    <xf numFmtId="0" fontId="0" fillId="0" borderId="5" xfId="0" applyBorder="1" applyAlignment="1">
      <alignment horizontal="left"/>
    </xf>
    <xf numFmtId="0" fontId="0" fillId="0" borderId="6" xfId="0" applyBorder="1" applyAlignment="1">
      <alignment horizontal="center"/>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0" fillId="0" borderId="11" xfId="0" applyBorder="1" applyAlignment="1">
      <alignment horizontal="left"/>
    </xf>
    <xf numFmtId="0" fontId="0" fillId="0" borderId="12"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 fillId="0" borderId="8" xfId="0" applyFont="1" applyBorder="1" applyAlignment="1">
      <alignment horizontal="center" wrapText="1"/>
    </xf>
    <xf numFmtId="0" fontId="1" fillId="0" borderId="3" xfId="0" applyFont="1" applyBorder="1" applyAlignment="1">
      <alignment horizontal="center" wrapText="1"/>
    </xf>
    <xf numFmtId="0" fontId="1" fillId="0" borderId="5" xfId="0" applyFont="1" applyBorder="1" applyAlignment="1">
      <alignment horizontal="center"/>
    </xf>
    <xf numFmtId="0" fontId="4" fillId="0" borderId="0" xfId="0" applyFont="1" applyAlignment="1">
      <alignment horizontal="center"/>
    </xf>
    <xf numFmtId="0" fontId="1" fillId="0" borderId="7" xfId="0" applyFont="1" applyBorder="1" applyAlignment="1">
      <alignment horizontal="center"/>
    </xf>
    <xf numFmtId="0" fontId="9" fillId="0" borderId="0" xfId="0" applyFont="1" applyAlignment="1">
      <alignment horizontal="center" vertical="top"/>
    </xf>
    <xf numFmtId="0" fontId="15" fillId="0" borderId="0" xfId="0" applyFont="1" applyAlignment="1">
      <alignment horizontal="center" vertical="center"/>
    </xf>
    <xf numFmtId="0" fontId="17" fillId="0" borderId="0" xfId="0" applyFont="1" applyAlignment="1">
      <alignment horizontal="center" vertical="center"/>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5" xfId="0" applyBorder="1" applyAlignment="1" applyProtection="1">
      <alignment horizontal="left"/>
      <protection locked="0"/>
    </xf>
    <xf numFmtId="0" fontId="0" fillId="0" borderId="6" xfId="0" applyBorder="1" applyAlignment="1" applyProtection="1">
      <alignment horizontal="center"/>
      <protection locked="0"/>
    </xf>
    <xf numFmtId="0" fontId="1" fillId="0" borderId="5" xfId="0" applyFont="1" applyBorder="1" applyAlignment="1" applyProtection="1">
      <alignment horizontal="center"/>
      <protection locked="0"/>
    </xf>
    <xf numFmtId="0" fontId="0" fillId="0" borderId="9" xfId="0" applyBorder="1" applyAlignment="1" applyProtection="1">
      <alignment horizontal="left"/>
      <protection locked="0"/>
    </xf>
    <xf numFmtId="0" fontId="0" fillId="0" borderId="10" xfId="0" applyBorder="1" applyAlignment="1" applyProtection="1">
      <alignment horizontal="left"/>
      <protection locked="0"/>
    </xf>
    <xf numFmtId="0" fontId="0" fillId="0" borderId="11"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lignment horizontal="left"/>
    </xf>
    <xf numFmtId="0" fontId="0" fillId="0" borderId="14" xfId="0" applyBorder="1" applyAlignment="1">
      <alignment horizontal="left"/>
    </xf>
    <xf numFmtId="0" fontId="10" fillId="0" borderId="0" xfId="0" applyFont="1" applyAlignment="1">
      <alignment horizontal="center"/>
    </xf>
    <xf numFmtId="0" fontId="6" fillId="0" borderId="7" xfId="0" applyFont="1" applyBorder="1" applyAlignment="1">
      <alignment horizontal="center"/>
    </xf>
    <xf numFmtId="0" fontId="11" fillId="0" borderId="0" xfId="0" applyFont="1" applyAlignment="1">
      <alignment horizontal="center"/>
    </xf>
    <xf numFmtId="0" fontId="2" fillId="0" borderId="7" xfId="0" applyFont="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571500</xdr:colOff>
      <xdr:row>10</xdr:row>
      <xdr:rowOff>152400</xdr:rowOff>
    </xdr:from>
    <xdr:to>
      <xdr:col>0</xdr:col>
      <xdr:colOff>571500</xdr:colOff>
      <xdr:row>11</xdr:row>
      <xdr:rowOff>180975</xdr:rowOff>
    </xdr:to>
    <xdr:sp macro="" textlink="">
      <xdr:nvSpPr>
        <xdr:cNvPr id="2" name="Line 5">
          <a:extLst>
            <a:ext uri="{FF2B5EF4-FFF2-40B4-BE49-F238E27FC236}">
              <a16:creationId xmlns:a16="http://schemas.microsoft.com/office/drawing/2014/main" id="{00000000-0008-0000-0100-000002000000}"/>
            </a:ext>
          </a:extLst>
        </xdr:cNvPr>
        <xdr:cNvSpPr>
          <a:spLocks noChangeShapeType="1"/>
        </xdr:cNvSpPr>
      </xdr:nvSpPr>
      <xdr:spPr bwMode="auto">
        <a:xfrm>
          <a:off x="571500" y="1876425"/>
          <a:ext cx="0"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9"/>
  <sheetViews>
    <sheetView workbookViewId="0">
      <selection activeCell="F27" sqref="F27"/>
    </sheetView>
  </sheetViews>
  <sheetFormatPr defaultColWidth="9.109375"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0</v>
      </c>
      <c r="B1" s="67"/>
      <c r="C1" s="67"/>
      <c r="D1" s="67"/>
      <c r="E1" s="67"/>
      <c r="F1" s="67"/>
      <c r="G1" s="67"/>
      <c r="H1" s="67"/>
      <c r="I1" s="67"/>
      <c r="J1" s="67"/>
      <c r="K1" s="67"/>
      <c r="L1" s="67"/>
    </row>
    <row r="2" spans="1:12" x14ac:dyDescent="0.3">
      <c r="K2" s="21" t="s">
        <v>1</v>
      </c>
      <c r="L2" s="9"/>
    </row>
    <row r="3" spans="1:12" ht="15.6" x14ac:dyDescent="0.3">
      <c r="B3" s="30" t="s">
        <v>2</v>
      </c>
      <c r="C3" s="56"/>
      <c r="D3" s="56"/>
      <c r="F3" s="32" t="s">
        <v>3</v>
      </c>
      <c r="G3" s="56"/>
      <c r="H3" s="56"/>
      <c r="I3" s="56"/>
      <c r="K3" s="21" t="s">
        <v>4</v>
      </c>
      <c r="L3" s="9"/>
    </row>
    <row r="4" spans="1:12" ht="21.75" customHeight="1" x14ac:dyDescent="0.3">
      <c r="B4" s="37" t="s">
        <v>5</v>
      </c>
      <c r="C4" s="40"/>
      <c r="D4" s="40"/>
      <c r="F4" s="32" t="s">
        <v>6</v>
      </c>
      <c r="G4" s="57"/>
      <c r="H4" s="57"/>
      <c r="I4" s="57"/>
      <c r="K4" s="21" t="s">
        <v>7</v>
      </c>
      <c r="L4" s="41"/>
    </row>
    <row r="5" spans="1:12" ht="15.6" x14ac:dyDescent="0.3">
      <c r="B5" s="37" t="s">
        <v>8</v>
      </c>
      <c r="C5" s="56"/>
      <c r="D5" s="56"/>
      <c r="F5" s="15"/>
      <c r="G5" s="68" t="s">
        <v>9</v>
      </c>
      <c r="H5" s="68"/>
      <c r="I5" s="68"/>
      <c r="K5" s="21" t="s">
        <v>10</v>
      </c>
      <c r="L5" s="50"/>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15</v>
      </c>
      <c r="C9" s="9"/>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66" t="str">
        <f>IF(G4=0,"",G4)</f>
        <v/>
      </c>
      <c r="C11" s="66"/>
      <c r="D11" t="s">
        <v>16</v>
      </c>
      <c r="F11" s="15"/>
      <c r="G11" s="59"/>
      <c r="H11" s="59"/>
      <c r="I11" s="59"/>
      <c r="J11" s="59"/>
      <c r="K11" s="59"/>
      <c r="L11" s="59"/>
    </row>
    <row r="12" spans="1:12" ht="15.6" x14ac:dyDescent="0.3">
      <c r="A12" s="36" t="s">
        <v>17</v>
      </c>
      <c r="B12" s="66">
        <f>+G3</f>
        <v>0</v>
      </c>
      <c r="C12" s="66"/>
      <c r="D12" t="s">
        <v>18</v>
      </c>
      <c r="G12" s="59"/>
      <c r="H12" s="59"/>
      <c r="I12" s="59"/>
      <c r="J12" s="59"/>
      <c r="K12" s="59"/>
      <c r="L12" s="59"/>
    </row>
    <row r="13" spans="1:12" x14ac:dyDescent="0.3">
      <c r="B13" s="33" t="s">
        <v>19</v>
      </c>
      <c r="C13" s="50">
        <f>+C9</f>
        <v>0</v>
      </c>
      <c r="D13" t="s">
        <v>20</v>
      </c>
      <c r="G13" s="59"/>
      <c r="H13" s="59"/>
      <c r="I13" s="59"/>
      <c r="J13" s="59"/>
      <c r="K13" s="59"/>
      <c r="L13" s="59"/>
    </row>
    <row r="14" spans="1:12" x14ac:dyDescent="0.3">
      <c r="B14" s="56"/>
      <c r="C14" s="56"/>
      <c r="D14" s="56"/>
      <c r="E14" s="56"/>
      <c r="F14" s="56"/>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c r="C17" s="63"/>
      <c r="D17" s="42"/>
      <c r="E17" s="43"/>
      <c r="F17" s="29" t="s">
        <v>31</v>
      </c>
      <c r="G17" s="13">
        <v>0</v>
      </c>
      <c r="H17" s="13">
        <v>0</v>
      </c>
      <c r="I17" s="13">
        <f>+G17+H17</f>
        <v>0</v>
      </c>
      <c r="J17" s="13"/>
      <c r="K17" s="13"/>
      <c r="L17" s="13">
        <f>+I17-J17-K17</f>
        <v>0</v>
      </c>
    </row>
    <row r="18" spans="1:12" x14ac:dyDescent="0.3">
      <c r="A18">
        <v>2</v>
      </c>
      <c r="B18" s="60"/>
      <c r="C18" s="61"/>
      <c r="D18" s="42"/>
      <c r="E18" s="43"/>
      <c r="F18" s="29" t="s">
        <v>32</v>
      </c>
      <c r="G18" s="13">
        <v>0</v>
      </c>
      <c r="H18" s="13">
        <v>0</v>
      </c>
      <c r="I18" s="13">
        <f t="shared" ref="I18:I46" si="0">+G18+H18</f>
        <v>0</v>
      </c>
      <c r="J18" s="13"/>
      <c r="K18" s="13"/>
      <c r="L18" s="13">
        <f t="shared" ref="L18:L46" si="1">+I18-J18-K18</f>
        <v>0</v>
      </c>
    </row>
    <row r="19" spans="1:12" x14ac:dyDescent="0.3">
      <c r="A19">
        <v>3</v>
      </c>
      <c r="B19" s="60"/>
      <c r="C19" s="61"/>
      <c r="D19" s="42"/>
      <c r="E19" s="43"/>
      <c r="F19" s="29" t="s">
        <v>33</v>
      </c>
      <c r="G19" s="13">
        <v>0</v>
      </c>
      <c r="H19" s="13">
        <v>0</v>
      </c>
      <c r="I19" s="13">
        <f t="shared" si="0"/>
        <v>0</v>
      </c>
      <c r="J19" s="13"/>
      <c r="K19" s="13"/>
      <c r="L19" s="13">
        <f t="shared" si="1"/>
        <v>0</v>
      </c>
    </row>
    <row r="20" spans="1:12" x14ac:dyDescent="0.3">
      <c r="A20">
        <v>4</v>
      </c>
      <c r="B20" s="60"/>
      <c r="C20" s="61"/>
      <c r="D20" s="42"/>
      <c r="E20" s="43"/>
      <c r="F20" s="29" t="s">
        <v>34</v>
      </c>
      <c r="G20" s="13">
        <v>0</v>
      </c>
      <c r="H20" s="13">
        <v>0</v>
      </c>
      <c r="I20" s="13">
        <f t="shared" si="0"/>
        <v>0</v>
      </c>
      <c r="J20" s="13"/>
      <c r="K20" s="13"/>
      <c r="L20" s="13">
        <f>+I20-J20-K20</f>
        <v>0</v>
      </c>
    </row>
    <row r="21" spans="1:12" x14ac:dyDescent="0.3">
      <c r="A21">
        <v>5</v>
      </c>
      <c r="B21" s="60"/>
      <c r="C21" s="61"/>
      <c r="D21" s="42"/>
      <c r="E21" s="43"/>
      <c r="F21" s="29" t="s">
        <v>35</v>
      </c>
      <c r="G21" s="13">
        <v>0</v>
      </c>
      <c r="H21" s="13">
        <v>0</v>
      </c>
      <c r="I21" s="13">
        <f t="shared" si="0"/>
        <v>0</v>
      </c>
      <c r="J21" s="13"/>
      <c r="K21" s="13"/>
      <c r="L21" s="13">
        <f t="shared" si="1"/>
        <v>0</v>
      </c>
    </row>
    <row r="22" spans="1:12" x14ac:dyDescent="0.3">
      <c r="A22">
        <v>6</v>
      </c>
      <c r="B22" s="60"/>
      <c r="C22" s="61"/>
      <c r="D22" s="42"/>
      <c r="E22" s="43"/>
      <c r="F22" s="29" t="s">
        <v>36</v>
      </c>
      <c r="G22" s="13">
        <v>0</v>
      </c>
      <c r="H22" s="13">
        <v>0</v>
      </c>
      <c r="I22" s="13">
        <f>+G22+H22</f>
        <v>0</v>
      </c>
      <c r="J22" s="13"/>
      <c r="K22" s="13"/>
      <c r="L22" s="13">
        <f t="shared" si="1"/>
        <v>0</v>
      </c>
    </row>
    <row r="23" spans="1:12" x14ac:dyDescent="0.3">
      <c r="A23">
        <v>7</v>
      </c>
      <c r="B23" s="60"/>
      <c r="C23" s="61"/>
      <c r="D23" s="42"/>
      <c r="E23" s="43"/>
      <c r="F23" s="29" t="s">
        <v>37</v>
      </c>
      <c r="G23" s="13">
        <v>0</v>
      </c>
      <c r="H23" s="13">
        <v>0</v>
      </c>
      <c r="I23" s="13">
        <f t="shared" si="0"/>
        <v>0</v>
      </c>
      <c r="J23" s="13"/>
      <c r="K23" s="13"/>
      <c r="L23" s="13">
        <f t="shared" si="1"/>
        <v>0</v>
      </c>
    </row>
    <row r="24" spans="1:12" x14ac:dyDescent="0.3">
      <c r="A24">
        <v>8</v>
      </c>
      <c r="B24" s="60"/>
      <c r="C24" s="61"/>
      <c r="D24" s="42"/>
      <c r="E24" s="43"/>
      <c r="F24" s="29" t="s">
        <v>38</v>
      </c>
      <c r="G24" s="13">
        <v>0</v>
      </c>
      <c r="H24" s="13">
        <v>0</v>
      </c>
      <c r="I24" s="13">
        <f t="shared" si="0"/>
        <v>0</v>
      </c>
      <c r="J24" s="13"/>
      <c r="K24" s="13"/>
      <c r="L24" s="13">
        <f t="shared" si="1"/>
        <v>0</v>
      </c>
    </row>
    <row r="25" spans="1:12" x14ac:dyDescent="0.3">
      <c r="A25">
        <v>9</v>
      </c>
      <c r="B25" s="60"/>
      <c r="C25" s="61"/>
      <c r="D25" s="42"/>
      <c r="E25" s="43"/>
      <c r="F25" s="29" t="s">
        <v>39</v>
      </c>
      <c r="G25" s="13">
        <v>0</v>
      </c>
      <c r="H25" s="13">
        <v>0</v>
      </c>
      <c r="I25" s="13">
        <f t="shared" si="0"/>
        <v>0</v>
      </c>
      <c r="J25" s="13"/>
      <c r="K25" s="13"/>
      <c r="L25" s="13">
        <f t="shared" si="1"/>
        <v>0</v>
      </c>
    </row>
    <row r="26" spans="1:12" x14ac:dyDescent="0.3">
      <c r="A26">
        <v>10</v>
      </c>
      <c r="B26" s="60"/>
      <c r="C26" s="61"/>
      <c r="D26" s="42"/>
      <c r="E26" s="43"/>
      <c r="F26" s="29" t="s">
        <v>40</v>
      </c>
      <c r="G26" s="13">
        <v>0</v>
      </c>
      <c r="H26" s="13">
        <v>0</v>
      </c>
      <c r="I26" s="13">
        <f t="shared" si="0"/>
        <v>0</v>
      </c>
      <c r="J26" s="13"/>
      <c r="K26" s="13"/>
      <c r="L26" s="13">
        <f t="shared" si="1"/>
        <v>0</v>
      </c>
    </row>
    <row r="27" spans="1:12" x14ac:dyDescent="0.3">
      <c r="A27">
        <v>11</v>
      </c>
      <c r="B27" s="60"/>
      <c r="C27" s="61"/>
      <c r="D27" s="42"/>
      <c r="E27" s="43"/>
      <c r="F27" s="29" t="s">
        <v>41</v>
      </c>
      <c r="G27" s="13">
        <v>0</v>
      </c>
      <c r="H27" s="13">
        <v>0</v>
      </c>
      <c r="I27" s="13">
        <f t="shared" si="0"/>
        <v>0</v>
      </c>
      <c r="J27" s="13"/>
      <c r="K27" s="13"/>
      <c r="L27" s="13">
        <f t="shared" si="1"/>
        <v>0</v>
      </c>
    </row>
    <row r="28" spans="1:12" x14ac:dyDescent="0.3">
      <c r="A28">
        <v>12</v>
      </c>
      <c r="B28" s="60"/>
      <c r="C28" s="61"/>
      <c r="D28" s="42"/>
      <c r="E28" s="43"/>
      <c r="F28" s="29" t="s">
        <v>42</v>
      </c>
      <c r="G28" s="13">
        <v>0</v>
      </c>
      <c r="H28" s="13">
        <v>0</v>
      </c>
      <c r="I28" s="13">
        <f t="shared" si="0"/>
        <v>0</v>
      </c>
      <c r="J28" s="13"/>
      <c r="K28" s="13"/>
      <c r="L28" s="13">
        <f t="shared" si="1"/>
        <v>0</v>
      </c>
    </row>
    <row r="29" spans="1:12" x14ac:dyDescent="0.3">
      <c r="A29">
        <v>13</v>
      </c>
      <c r="B29" s="60"/>
      <c r="C29" s="61"/>
      <c r="D29" s="42"/>
      <c r="E29" s="43"/>
      <c r="F29" s="29" t="s">
        <v>43</v>
      </c>
      <c r="G29" s="13">
        <v>0</v>
      </c>
      <c r="H29" s="13">
        <v>0</v>
      </c>
      <c r="I29" s="13">
        <f t="shared" si="0"/>
        <v>0</v>
      </c>
      <c r="J29" s="13"/>
      <c r="K29" s="13"/>
      <c r="L29" s="13">
        <f t="shared" si="1"/>
        <v>0</v>
      </c>
    </row>
    <row r="30" spans="1:12" x14ac:dyDescent="0.3">
      <c r="A30">
        <v>14</v>
      </c>
      <c r="B30" s="60"/>
      <c r="C30" s="61"/>
      <c r="D30" s="42"/>
      <c r="E30" s="43"/>
      <c r="F30" s="29" t="s">
        <v>44</v>
      </c>
      <c r="G30" s="13">
        <v>0</v>
      </c>
      <c r="H30" s="13">
        <v>0</v>
      </c>
      <c r="I30" s="13">
        <f t="shared" si="0"/>
        <v>0</v>
      </c>
      <c r="J30" s="13"/>
      <c r="K30" s="13"/>
      <c r="L30" s="13">
        <f t="shared" si="1"/>
        <v>0</v>
      </c>
    </row>
    <row r="31" spans="1:12" x14ac:dyDescent="0.3">
      <c r="A31">
        <v>15</v>
      </c>
      <c r="B31" s="60"/>
      <c r="C31" s="61"/>
      <c r="D31" s="42"/>
      <c r="E31" s="43"/>
      <c r="F31" s="29" t="s">
        <v>45</v>
      </c>
      <c r="G31" s="13">
        <v>0</v>
      </c>
      <c r="H31" s="13">
        <v>0</v>
      </c>
      <c r="I31" s="13">
        <f t="shared" si="0"/>
        <v>0</v>
      </c>
      <c r="J31" s="13"/>
      <c r="K31" s="13"/>
      <c r="L31" s="13">
        <f t="shared" si="1"/>
        <v>0</v>
      </c>
    </row>
    <row r="32" spans="1:12" x14ac:dyDescent="0.3">
      <c r="A32">
        <v>16</v>
      </c>
      <c r="B32" s="60"/>
      <c r="C32" s="61"/>
      <c r="D32" s="42"/>
      <c r="E32" s="43"/>
      <c r="F32" s="29" t="s">
        <v>46</v>
      </c>
      <c r="G32" s="13">
        <v>0</v>
      </c>
      <c r="H32" s="13">
        <v>0</v>
      </c>
      <c r="I32" s="13">
        <f t="shared" si="0"/>
        <v>0</v>
      </c>
      <c r="J32" s="13"/>
      <c r="K32" s="13"/>
      <c r="L32" s="13">
        <f t="shared" si="1"/>
        <v>0</v>
      </c>
    </row>
    <row r="33" spans="1:12" x14ac:dyDescent="0.3">
      <c r="A33">
        <v>17</v>
      </c>
      <c r="B33" s="60"/>
      <c r="C33" s="61"/>
      <c r="D33" s="42"/>
      <c r="E33" s="43"/>
      <c r="F33" s="29" t="s">
        <v>47</v>
      </c>
      <c r="G33" s="13">
        <v>0</v>
      </c>
      <c r="H33" s="13">
        <v>0</v>
      </c>
      <c r="I33" s="13">
        <f t="shared" si="0"/>
        <v>0</v>
      </c>
      <c r="J33" s="13"/>
      <c r="K33" s="13"/>
      <c r="L33" s="13">
        <f t="shared" si="1"/>
        <v>0</v>
      </c>
    </row>
    <row r="34" spans="1:12" x14ac:dyDescent="0.3">
      <c r="A34">
        <v>18</v>
      </c>
      <c r="B34" s="60"/>
      <c r="C34" s="61"/>
      <c r="D34" s="42"/>
      <c r="E34" s="43"/>
      <c r="F34" s="29" t="s">
        <v>48</v>
      </c>
      <c r="G34" s="13">
        <v>0</v>
      </c>
      <c r="H34" s="13">
        <v>0</v>
      </c>
      <c r="I34" s="13">
        <f t="shared" si="0"/>
        <v>0</v>
      </c>
      <c r="J34" s="13"/>
      <c r="K34" s="13"/>
      <c r="L34" s="13">
        <f t="shared" si="1"/>
        <v>0</v>
      </c>
    </row>
    <row r="35" spans="1:12" x14ac:dyDescent="0.3">
      <c r="A35">
        <v>19</v>
      </c>
      <c r="B35" s="60"/>
      <c r="C35" s="61"/>
      <c r="D35" s="42"/>
      <c r="E35" s="43"/>
      <c r="F35" s="29" t="s">
        <v>49</v>
      </c>
      <c r="G35" s="13">
        <v>0</v>
      </c>
      <c r="H35" s="13">
        <v>0</v>
      </c>
      <c r="I35" s="13">
        <f t="shared" si="0"/>
        <v>0</v>
      </c>
      <c r="J35" s="13"/>
      <c r="K35" s="13"/>
      <c r="L35" s="13">
        <f t="shared" si="1"/>
        <v>0</v>
      </c>
    </row>
    <row r="36" spans="1:12" x14ac:dyDescent="0.3">
      <c r="A36">
        <v>20</v>
      </c>
      <c r="B36" s="60"/>
      <c r="C36" s="61"/>
      <c r="D36" s="42"/>
      <c r="E36" s="43"/>
      <c r="F36" s="29" t="s">
        <v>50</v>
      </c>
      <c r="G36" s="13">
        <v>0</v>
      </c>
      <c r="H36" s="13">
        <v>0</v>
      </c>
      <c r="I36" s="13">
        <f t="shared" si="0"/>
        <v>0</v>
      </c>
      <c r="J36" s="13"/>
      <c r="K36" s="13"/>
      <c r="L36" s="13">
        <f t="shared" si="1"/>
        <v>0</v>
      </c>
    </row>
    <row r="37" spans="1:12" x14ac:dyDescent="0.3">
      <c r="A37">
        <v>21</v>
      </c>
      <c r="B37" s="60"/>
      <c r="C37" s="61"/>
      <c r="D37" s="42"/>
      <c r="E37" s="43"/>
      <c r="F37" s="29" t="s">
        <v>51</v>
      </c>
      <c r="G37" s="13">
        <v>0</v>
      </c>
      <c r="H37" s="13">
        <v>0</v>
      </c>
      <c r="I37" s="13">
        <f t="shared" si="0"/>
        <v>0</v>
      </c>
      <c r="J37" s="13"/>
      <c r="K37" s="13"/>
      <c r="L37" s="13">
        <f t="shared" si="1"/>
        <v>0</v>
      </c>
    </row>
    <row r="38" spans="1:12" x14ac:dyDescent="0.3">
      <c r="A38">
        <v>22</v>
      </c>
      <c r="B38" s="60"/>
      <c r="C38" s="61"/>
      <c r="D38" s="42"/>
      <c r="E38" s="43"/>
      <c r="F38" s="29" t="s">
        <v>52</v>
      </c>
      <c r="G38" s="13">
        <v>0</v>
      </c>
      <c r="H38" s="13">
        <v>0</v>
      </c>
      <c r="I38" s="13">
        <f t="shared" si="0"/>
        <v>0</v>
      </c>
      <c r="J38" s="13"/>
      <c r="K38" s="13"/>
      <c r="L38" s="13">
        <f t="shared" si="1"/>
        <v>0</v>
      </c>
    </row>
    <row r="39" spans="1:12" x14ac:dyDescent="0.3">
      <c r="A39">
        <v>23</v>
      </c>
      <c r="B39" s="60"/>
      <c r="C39" s="61"/>
      <c r="D39" s="42"/>
      <c r="E39" s="43"/>
      <c r="F39" s="29" t="s">
        <v>53</v>
      </c>
      <c r="G39" s="13">
        <v>0</v>
      </c>
      <c r="H39" s="13">
        <v>0</v>
      </c>
      <c r="I39" s="13">
        <f t="shared" si="0"/>
        <v>0</v>
      </c>
      <c r="J39" s="13"/>
      <c r="K39" s="13"/>
      <c r="L39" s="13">
        <f t="shared" si="1"/>
        <v>0</v>
      </c>
    </row>
    <row r="40" spans="1:12" x14ac:dyDescent="0.3">
      <c r="A40">
        <v>24</v>
      </c>
      <c r="B40" s="60"/>
      <c r="C40" s="61"/>
      <c r="D40" s="42"/>
      <c r="E40" s="43"/>
      <c r="F40" s="29" t="s">
        <v>54</v>
      </c>
      <c r="G40" s="13">
        <v>0</v>
      </c>
      <c r="H40" s="13">
        <v>0</v>
      </c>
      <c r="I40" s="13">
        <f t="shared" si="0"/>
        <v>0</v>
      </c>
      <c r="J40" s="13"/>
      <c r="K40" s="13"/>
      <c r="L40" s="13">
        <f t="shared" si="1"/>
        <v>0</v>
      </c>
    </row>
    <row r="41" spans="1:12" x14ac:dyDescent="0.3">
      <c r="A41">
        <v>25</v>
      </c>
      <c r="B41" s="60"/>
      <c r="C41" s="61"/>
      <c r="D41" s="42"/>
      <c r="E41" s="43"/>
      <c r="F41" s="29" t="s">
        <v>55</v>
      </c>
      <c r="G41" s="13">
        <v>0</v>
      </c>
      <c r="H41" s="13">
        <v>0</v>
      </c>
      <c r="I41" s="13">
        <f t="shared" si="0"/>
        <v>0</v>
      </c>
      <c r="J41" s="13"/>
      <c r="K41" s="13"/>
      <c r="L41" s="13">
        <f t="shared" si="1"/>
        <v>0</v>
      </c>
    </row>
    <row r="42" spans="1:12" x14ac:dyDescent="0.3">
      <c r="A42">
        <v>26</v>
      </c>
      <c r="B42" s="60"/>
      <c r="C42" s="61"/>
      <c r="D42" s="42"/>
      <c r="E42" s="43"/>
      <c r="F42" s="29" t="s">
        <v>56</v>
      </c>
      <c r="G42" s="13">
        <v>0</v>
      </c>
      <c r="H42" s="13">
        <v>0</v>
      </c>
      <c r="I42" s="13">
        <f t="shared" si="0"/>
        <v>0</v>
      </c>
      <c r="J42" s="13"/>
      <c r="K42" s="13"/>
      <c r="L42" s="13">
        <f>+I42-J42-K42</f>
        <v>0</v>
      </c>
    </row>
    <row r="43" spans="1:12" x14ac:dyDescent="0.3">
      <c r="A43">
        <v>27</v>
      </c>
      <c r="B43" s="60"/>
      <c r="C43" s="61"/>
      <c r="D43" s="42"/>
      <c r="E43" s="43"/>
      <c r="F43" s="29" t="s">
        <v>57</v>
      </c>
      <c r="G43" s="13">
        <v>0</v>
      </c>
      <c r="H43" s="13">
        <v>0</v>
      </c>
      <c r="I43" s="13">
        <f t="shared" si="0"/>
        <v>0</v>
      </c>
      <c r="J43" s="13"/>
      <c r="K43" s="13"/>
      <c r="L43" s="13">
        <f t="shared" si="1"/>
        <v>0</v>
      </c>
    </row>
    <row r="44" spans="1:12" x14ac:dyDescent="0.3">
      <c r="A44">
        <v>28</v>
      </c>
      <c r="B44" s="60"/>
      <c r="C44" s="61"/>
      <c r="D44" s="42"/>
      <c r="E44" s="43"/>
      <c r="F44" s="29" t="s">
        <v>58</v>
      </c>
      <c r="G44" s="13">
        <v>0</v>
      </c>
      <c r="H44" s="13">
        <v>0</v>
      </c>
      <c r="I44" s="13">
        <f t="shared" si="0"/>
        <v>0</v>
      </c>
      <c r="J44" s="13"/>
      <c r="K44" s="13"/>
      <c r="L44" s="13">
        <f t="shared" si="1"/>
        <v>0</v>
      </c>
    </row>
    <row r="45" spans="1:12" x14ac:dyDescent="0.3">
      <c r="A45">
        <v>29</v>
      </c>
      <c r="B45" s="60"/>
      <c r="C45" s="61"/>
      <c r="D45" s="42"/>
      <c r="E45" s="43"/>
      <c r="F45" s="29" t="s">
        <v>59</v>
      </c>
      <c r="G45" s="13">
        <v>0</v>
      </c>
      <c r="H45" s="13">
        <v>0</v>
      </c>
      <c r="I45" s="13">
        <f t="shared" si="0"/>
        <v>0</v>
      </c>
      <c r="J45" s="13"/>
      <c r="K45" s="13"/>
      <c r="L45" s="13">
        <f t="shared" si="1"/>
        <v>0</v>
      </c>
    </row>
    <row r="46" spans="1:12" x14ac:dyDescent="0.3">
      <c r="A46">
        <v>30</v>
      </c>
      <c r="B46" s="60"/>
      <c r="C46" s="61"/>
      <c r="D46" s="42"/>
      <c r="E46" s="43"/>
      <c r="F46" s="29" t="s">
        <v>60</v>
      </c>
      <c r="G46" s="13">
        <v>0</v>
      </c>
      <c r="H46" s="13">
        <v>0</v>
      </c>
      <c r="I46" s="13">
        <f t="shared" si="0"/>
        <v>0</v>
      </c>
      <c r="J46" s="13"/>
      <c r="K46" s="13"/>
      <c r="L46" s="13">
        <f t="shared" si="1"/>
        <v>0</v>
      </c>
    </row>
    <row r="47" spans="1:12" x14ac:dyDescent="0.3">
      <c r="B47" s="54"/>
      <c r="C47" s="55"/>
      <c r="D47" s="4"/>
      <c r="E47" s="4"/>
      <c r="F47" s="12" t="s">
        <v>61</v>
      </c>
      <c r="G47" s="20">
        <f>SUM(G17:G46)</f>
        <v>0</v>
      </c>
      <c r="H47" s="20">
        <f>SUM(H17:H46)</f>
        <v>0</v>
      </c>
      <c r="I47" s="20">
        <f>SUM(I17:I46)</f>
        <v>0</v>
      </c>
      <c r="J47" s="20">
        <f t="shared" ref="J47:L47" si="2">SUM(J17:J46)</f>
        <v>0</v>
      </c>
      <c r="K47" s="20">
        <f t="shared" si="2"/>
        <v>0</v>
      </c>
      <c r="L47" s="20">
        <f t="shared" si="2"/>
        <v>0</v>
      </c>
    </row>
    <row r="48" spans="1:12" ht="15" customHeight="1"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39.75" customHeight="1"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c r="C53" s="63"/>
      <c r="D53" s="42"/>
      <c r="E53" s="43"/>
      <c r="F53" s="29" t="s">
        <v>63</v>
      </c>
      <c r="G53" s="13">
        <v>0</v>
      </c>
      <c r="H53" s="13">
        <v>0</v>
      </c>
      <c r="I53" s="13">
        <f t="shared" ref="I53:I82" si="3">+G53+H53</f>
        <v>0</v>
      </c>
      <c r="J53" s="13"/>
      <c r="K53" s="13"/>
      <c r="L53" s="13">
        <f t="shared" ref="L53:L82" si="4">+I53-J53-K53</f>
        <v>0</v>
      </c>
    </row>
    <row r="54" spans="1:12" x14ac:dyDescent="0.3">
      <c r="A54">
        <v>32</v>
      </c>
      <c r="B54" s="60"/>
      <c r="C54" s="61"/>
      <c r="D54" s="42"/>
      <c r="E54" s="43"/>
      <c r="F54" s="29" t="s">
        <v>64</v>
      </c>
      <c r="G54" s="13">
        <v>0</v>
      </c>
      <c r="H54" s="13">
        <v>0</v>
      </c>
      <c r="I54" s="13">
        <f t="shared" si="3"/>
        <v>0</v>
      </c>
      <c r="J54" s="13"/>
      <c r="K54" s="13"/>
      <c r="L54" s="13">
        <f t="shared" si="4"/>
        <v>0</v>
      </c>
    </row>
    <row r="55" spans="1:12" x14ac:dyDescent="0.3">
      <c r="A55">
        <v>33</v>
      </c>
      <c r="B55" s="60"/>
      <c r="C55" s="61"/>
      <c r="D55" s="42"/>
      <c r="E55" s="43"/>
      <c r="F55" s="29" t="s">
        <v>65</v>
      </c>
      <c r="G55" s="13">
        <v>0</v>
      </c>
      <c r="H55" s="13">
        <v>0</v>
      </c>
      <c r="I55" s="13">
        <f t="shared" si="3"/>
        <v>0</v>
      </c>
      <c r="J55" s="13"/>
      <c r="K55" s="13"/>
      <c r="L55" s="13">
        <f t="shared" si="4"/>
        <v>0</v>
      </c>
    </row>
    <row r="56" spans="1:12" x14ac:dyDescent="0.3">
      <c r="A56">
        <v>34</v>
      </c>
      <c r="B56" s="60"/>
      <c r="C56" s="61"/>
      <c r="D56" s="42"/>
      <c r="E56" s="43"/>
      <c r="F56" s="29" t="s">
        <v>66</v>
      </c>
      <c r="G56" s="13">
        <v>0</v>
      </c>
      <c r="H56" s="13">
        <v>0</v>
      </c>
      <c r="I56" s="13">
        <f t="shared" si="3"/>
        <v>0</v>
      </c>
      <c r="J56" s="13"/>
      <c r="K56" s="13"/>
      <c r="L56" s="13">
        <f t="shared" si="4"/>
        <v>0</v>
      </c>
    </row>
    <row r="57" spans="1:12" x14ac:dyDescent="0.3">
      <c r="A57">
        <v>35</v>
      </c>
      <c r="B57" s="60"/>
      <c r="C57" s="61"/>
      <c r="D57" s="42"/>
      <c r="E57" s="43"/>
      <c r="F57" s="29" t="s">
        <v>67</v>
      </c>
      <c r="G57" s="13">
        <v>0</v>
      </c>
      <c r="H57" s="13">
        <v>0</v>
      </c>
      <c r="I57" s="13">
        <f t="shared" si="3"/>
        <v>0</v>
      </c>
      <c r="J57" s="13"/>
      <c r="K57" s="13"/>
      <c r="L57" s="13">
        <f t="shared" si="4"/>
        <v>0</v>
      </c>
    </row>
    <row r="58" spans="1:12" x14ac:dyDescent="0.3">
      <c r="A58">
        <v>36</v>
      </c>
      <c r="B58" s="60"/>
      <c r="C58" s="61"/>
      <c r="D58" s="42"/>
      <c r="E58" s="43"/>
      <c r="F58" s="29" t="s">
        <v>68</v>
      </c>
      <c r="G58" s="13">
        <v>0</v>
      </c>
      <c r="H58" s="13">
        <v>0</v>
      </c>
      <c r="I58" s="13">
        <f t="shared" si="3"/>
        <v>0</v>
      </c>
      <c r="J58" s="13"/>
      <c r="K58" s="13"/>
      <c r="L58" s="13">
        <f t="shared" si="4"/>
        <v>0</v>
      </c>
    </row>
    <row r="59" spans="1:12" x14ac:dyDescent="0.3">
      <c r="A59">
        <v>37</v>
      </c>
      <c r="B59" s="60"/>
      <c r="C59" s="61"/>
      <c r="D59" s="42"/>
      <c r="E59" s="43"/>
      <c r="F59" s="29" t="s">
        <v>69</v>
      </c>
      <c r="G59" s="13">
        <v>0</v>
      </c>
      <c r="H59" s="13">
        <v>0</v>
      </c>
      <c r="I59" s="13">
        <f t="shared" si="3"/>
        <v>0</v>
      </c>
      <c r="J59" s="13"/>
      <c r="K59" s="13"/>
      <c r="L59" s="13">
        <f t="shared" si="4"/>
        <v>0</v>
      </c>
    </row>
    <row r="60" spans="1:12" x14ac:dyDescent="0.3">
      <c r="A60">
        <v>38</v>
      </c>
      <c r="B60" s="60"/>
      <c r="C60" s="61"/>
      <c r="D60" s="42"/>
      <c r="E60" s="43"/>
      <c r="F60" s="29" t="s">
        <v>70</v>
      </c>
      <c r="G60" s="13">
        <v>0</v>
      </c>
      <c r="H60" s="13">
        <v>0</v>
      </c>
      <c r="I60" s="13">
        <f t="shared" si="3"/>
        <v>0</v>
      </c>
      <c r="J60" s="13"/>
      <c r="K60" s="13"/>
      <c r="L60" s="13">
        <f t="shared" si="4"/>
        <v>0</v>
      </c>
    </row>
    <row r="61" spans="1:12" x14ac:dyDescent="0.3">
      <c r="A61">
        <v>39</v>
      </c>
      <c r="B61" s="60"/>
      <c r="C61" s="61"/>
      <c r="D61" s="42"/>
      <c r="E61" s="43"/>
      <c r="F61" s="29" t="s">
        <v>71</v>
      </c>
      <c r="G61" s="13">
        <v>0</v>
      </c>
      <c r="H61" s="13">
        <v>0</v>
      </c>
      <c r="I61" s="13">
        <f t="shared" si="3"/>
        <v>0</v>
      </c>
      <c r="J61" s="13"/>
      <c r="K61" s="13"/>
      <c r="L61" s="13">
        <f t="shared" si="4"/>
        <v>0</v>
      </c>
    </row>
    <row r="62" spans="1:12" x14ac:dyDescent="0.3">
      <c r="A62">
        <v>40</v>
      </c>
      <c r="B62" s="60"/>
      <c r="C62" s="61"/>
      <c r="D62" s="42"/>
      <c r="E62" s="43"/>
      <c r="F62" s="29" t="s">
        <v>72</v>
      </c>
      <c r="G62" s="13">
        <v>0</v>
      </c>
      <c r="H62" s="13">
        <v>0</v>
      </c>
      <c r="I62" s="13">
        <f t="shared" si="3"/>
        <v>0</v>
      </c>
      <c r="J62" s="13"/>
      <c r="K62" s="13"/>
      <c r="L62" s="13">
        <f t="shared" si="4"/>
        <v>0</v>
      </c>
    </row>
    <row r="63" spans="1:12" x14ac:dyDescent="0.3">
      <c r="A63">
        <v>41</v>
      </c>
      <c r="B63" s="60"/>
      <c r="C63" s="61"/>
      <c r="D63" s="42"/>
      <c r="E63" s="43"/>
      <c r="F63" s="29" t="s">
        <v>73</v>
      </c>
      <c r="G63" s="13">
        <v>0</v>
      </c>
      <c r="H63" s="13">
        <v>0</v>
      </c>
      <c r="I63" s="13">
        <f t="shared" si="3"/>
        <v>0</v>
      </c>
      <c r="J63" s="13"/>
      <c r="K63" s="13"/>
      <c r="L63" s="13">
        <f t="shared" si="4"/>
        <v>0</v>
      </c>
    </row>
    <row r="64" spans="1:12" x14ac:dyDescent="0.3">
      <c r="A64">
        <v>42</v>
      </c>
      <c r="B64" s="60"/>
      <c r="C64" s="61"/>
      <c r="D64" s="42"/>
      <c r="E64" s="43"/>
      <c r="F64" s="29" t="s">
        <v>74</v>
      </c>
      <c r="G64" s="13">
        <v>0</v>
      </c>
      <c r="H64" s="13">
        <v>0</v>
      </c>
      <c r="I64" s="13">
        <f t="shared" si="3"/>
        <v>0</v>
      </c>
      <c r="J64" s="13"/>
      <c r="K64" s="13"/>
      <c r="L64" s="13">
        <f t="shared" si="4"/>
        <v>0</v>
      </c>
    </row>
    <row r="65" spans="1:12" x14ac:dyDescent="0.3">
      <c r="A65">
        <v>43</v>
      </c>
      <c r="B65" s="60"/>
      <c r="C65" s="61"/>
      <c r="D65" s="42"/>
      <c r="E65" s="43"/>
      <c r="F65" s="29" t="s">
        <v>75</v>
      </c>
      <c r="G65" s="13">
        <v>0</v>
      </c>
      <c r="H65" s="13">
        <v>0</v>
      </c>
      <c r="I65" s="13">
        <f t="shared" si="3"/>
        <v>0</v>
      </c>
      <c r="J65" s="13"/>
      <c r="K65" s="13"/>
      <c r="L65" s="13">
        <f t="shared" si="4"/>
        <v>0</v>
      </c>
    </row>
    <row r="66" spans="1:12" x14ac:dyDescent="0.3">
      <c r="A66">
        <v>44</v>
      </c>
      <c r="B66" s="60"/>
      <c r="C66" s="61"/>
      <c r="D66" s="42"/>
      <c r="E66" s="43"/>
      <c r="F66" s="29" t="s">
        <v>76</v>
      </c>
      <c r="G66" s="13">
        <v>0</v>
      </c>
      <c r="H66" s="13">
        <v>0</v>
      </c>
      <c r="I66" s="13">
        <f t="shared" si="3"/>
        <v>0</v>
      </c>
      <c r="J66" s="13"/>
      <c r="K66" s="13"/>
      <c r="L66" s="13">
        <f t="shared" si="4"/>
        <v>0</v>
      </c>
    </row>
    <row r="67" spans="1:12" x14ac:dyDescent="0.3">
      <c r="A67">
        <v>45</v>
      </c>
      <c r="B67" s="60"/>
      <c r="C67" s="61"/>
      <c r="D67" s="42"/>
      <c r="E67" s="43"/>
      <c r="F67" s="29" t="s">
        <v>77</v>
      </c>
      <c r="G67" s="13">
        <v>0</v>
      </c>
      <c r="H67" s="13">
        <v>0</v>
      </c>
      <c r="I67" s="13">
        <f t="shared" si="3"/>
        <v>0</v>
      </c>
      <c r="J67" s="13"/>
      <c r="K67" s="13"/>
      <c r="L67" s="13">
        <f t="shared" si="4"/>
        <v>0</v>
      </c>
    </row>
    <row r="68" spans="1:12" x14ac:dyDescent="0.3">
      <c r="A68">
        <v>46</v>
      </c>
      <c r="B68" s="60"/>
      <c r="C68" s="61"/>
      <c r="D68" s="42"/>
      <c r="E68" s="43"/>
      <c r="F68" s="29"/>
      <c r="G68" s="13">
        <v>0</v>
      </c>
      <c r="H68" s="13">
        <v>0</v>
      </c>
      <c r="I68" s="13">
        <f t="shared" si="3"/>
        <v>0</v>
      </c>
      <c r="J68" s="13"/>
      <c r="K68" s="13"/>
      <c r="L68" s="13">
        <f t="shared" si="4"/>
        <v>0</v>
      </c>
    </row>
    <row r="69" spans="1:12" x14ac:dyDescent="0.3">
      <c r="A69">
        <v>47</v>
      </c>
      <c r="B69" s="60"/>
      <c r="C69" s="61"/>
      <c r="D69" s="42"/>
      <c r="E69" s="43"/>
      <c r="F69" s="29"/>
      <c r="G69" s="13">
        <v>0</v>
      </c>
      <c r="H69" s="13">
        <v>0</v>
      </c>
      <c r="I69" s="13">
        <f t="shared" si="3"/>
        <v>0</v>
      </c>
      <c r="J69" s="13"/>
      <c r="K69" s="13"/>
      <c r="L69" s="13">
        <f t="shared" si="4"/>
        <v>0</v>
      </c>
    </row>
    <row r="70" spans="1:12" x14ac:dyDescent="0.3">
      <c r="A70">
        <v>48</v>
      </c>
      <c r="B70" s="60"/>
      <c r="C70" s="61"/>
      <c r="D70" s="42"/>
      <c r="E70" s="43"/>
      <c r="F70" s="29"/>
      <c r="G70" s="13">
        <v>0</v>
      </c>
      <c r="H70" s="13">
        <v>0</v>
      </c>
      <c r="I70" s="13">
        <f t="shared" si="3"/>
        <v>0</v>
      </c>
      <c r="J70" s="13"/>
      <c r="K70" s="13"/>
      <c r="L70" s="13">
        <f t="shared" si="4"/>
        <v>0</v>
      </c>
    </row>
    <row r="71" spans="1:12" x14ac:dyDescent="0.3">
      <c r="A71">
        <v>49</v>
      </c>
      <c r="B71" s="60"/>
      <c r="C71" s="61"/>
      <c r="D71" s="42"/>
      <c r="E71" s="43"/>
      <c r="F71" s="29"/>
      <c r="G71" s="13">
        <v>0</v>
      </c>
      <c r="H71" s="13">
        <v>0</v>
      </c>
      <c r="I71" s="13">
        <f t="shared" si="3"/>
        <v>0</v>
      </c>
      <c r="J71" s="13"/>
      <c r="K71" s="13"/>
      <c r="L71" s="13">
        <f t="shared" si="4"/>
        <v>0</v>
      </c>
    </row>
    <row r="72" spans="1:12" x14ac:dyDescent="0.3">
      <c r="A72">
        <v>50</v>
      </c>
      <c r="B72" s="60"/>
      <c r="C72" s="61"/>
      <c r="D72" s="42"/>
      <c r="E72" s="43"/>
      <c r="F72" s="29"/>
      <c r="G72" s="13">
        <v>0</v>
      </c>
      <c r="H72" s="13">
        <v>0</v>
      </c>
      <c r="I72" s="13">
        <f t="shared" si="3"/>
        <v>0</v>
      </c>
      <c r="J72" s="13"/>
      <c r="K72" s="13"/>
      <c r="L72" s="13">
        <f t="shared" si="4"/>
        <v>0</v>
      </c>
    </row>
    <row r="73" spans="1:12" x14ac:dyDescent="0.3">
      <c r="A73">
        <v>51</v>
      </c>
      <c r="B73" s="60"/>
      <c r="C73" s="61"/>
      <c r="D73" s="42"/>
      <c r="E73" s="43"/>
      <c r="F73" s="29"/>
      <c r="G73" s="13">
        <v>0</v>
      </c>
      <c r="H73" s="13">
        <v>0</v>
      </c>
      <c r="I73" s="13">
        <f t="shared" si="3"/>
        <v>0</v>
      </c>
      <c r="J73" s="13"/>
      <c r="K73" s="13"/>
      <c r="L73" s="13">
        <f t="shared" si="4"/>
        <v>0</v>
      </c>
    </row>
    <row r="74" spans="1:12" x14ac:dyDescent="0.3">
      <c r="A74">
        <v>52</v>
      </c>
      <c r="B74" s="60"/>
      <c r="C74" s="61"/>
      <c r="D74" s="42"/>
      <c r="E74" s="43"/>
      <c r="F74" s="29"/>
      <c r="G74" s="13">
        <v>0</v>
      </c>
      <c r="H74" s="13">
        <v>0</v>
      </c>
      <c r="I74" s="13">
        <f t="shared" si="3"/>
        <v>0</v>
      </c>
      <c r="J74" s="13"/>
      <c r="K74" s="13"/>
      <c r="L74" s="13">
        <f t="shared" si="4"/>
        <v>0</v>
      </c>
    </row>
    <row r="75" spans="1:12" x14ac:dyDescent="0.3">
      <c r="A75">
        <v>53</v>
      </c>
      <c r="B75" s="60"/>
      <c r="C75" s="61"/>
      <c r="D75" s="42"/>
      <c r="E75" s="43"/>
      <c r="F75" s="29"/>
      <c r="G75" s="13">
        <v>0</v>
      </c>
      <c r="H75" s="13">
        <v>0</v>
      </c>
      <c r="I75" s="13">
        <f t="shared" si="3"/>
        <v>0</v>
      </c>
      <c r="J75" s="13"/>
      <c r="K75" s="13"/>
      <c r="L75" s="13">
        <f t="shared" si="4"/>
        <v>0</v>
      </c>
    </row>
    <row r="76" spans="1:12" x14ac:dyDescent="0.3">
      <c r="A76">
        <v>54</v>
      </c>
      <c r="B76" s="60"/>
      <c r="C76" s="61"/>
      <c r="D76" s="42"/>
      <c r="E76" s="43"/>
      <c r="F76" s="29"/>
      <c r="G76" s="13">
        <v>0</v>
      </c>
      <c r="H76" s="13">
        <v>0</v>
      </c>
      <c r="I76" s="13">
        <f t="shared" si="3"/>
        <v>0</v>
      </c>
      <c r="J76" s="13"/>
      <c r="K76" s="13"/>
      <c r="L76" s="13">
        <f t="shared" si="4"/>
        <v>0</v>
      </c>
    </row>
    <row r="77" spans="1:12" x14ac:dyDescent="0.3">
      <c r="A77">
        <v>55</v>
      </c>
      <c r="B77" s="60"/>
      <c r="C77" s="61"/>
      <c r="D77" s="42"/>
      <c r="E77" s="43"/>
      <c r="F77" s="29"/>
      <c r="G77" s="13">
        <v>0</v>
      </c>
      <c r="H77" s="13">
        <v>0</v>
      </c>
      <c r="I77" s="13">
        <f t="shared" si="3"/>
        <v>0</v>
      </c>
      <c r="J77" s="13"/>
      <c r="K77" s="13"/>
      <c r="L77" s="13">
        <f t="shared" si="4"/>
        <v>0</v>
      </c>
    </row>
    <row r="78" spans="1:12" x14ac:dyDescent="0.3">
      <c r="A78">
        <v>56</v>
      </c>
      <c r="B78" s="60"/>
      <c r="C78" s="61"/>
      <c r="D78" s="42"/>
      <c r="E78" s="43"/>
      <c r="F78" s="29"/>
      <c r="G78" s="13">
        <v>0</v>
      </c>
      <c r="H78" s="13">
        <v>0</v>
      </c>
      <c r="I78" s="13">
        <f t="shared" si="3"/>
        <v>0</v>
      </c>
      <c r="J78" s="13"/>
      <c r="K78" s="13"/>
      <c r="L78" s="13">
        <f t="shared" si="4"/>
        <v>0</v>
      </c>
    </row>
    <row r="79" spans="1:12" x14ac:dyDescent="0.3">
      <c r="A79">
        <v>57</v>
      </c>
      <c r="B79" s="60"/>
      <c r="C79" s="61"/>
      <c r="D79" s="42"/>
      <c r="E79" s="43"/>
      <c r="F79" s="29"/>
      <c r="G79" s="13">
        <v>0</v>
      </c>
      <c r="H79" s="13">
        <v>0</v>
      </c>
      <c r="I79" s="13">
        <f t="shared" si="3"/>
        <v>0</v>
      </c>
      <c r="J79" s="13"/>
      <c r="K79" s="13"/>
      <c r="L79" s="13">
        <f t="shared" si="4"/>
        <v>0</v>
      </c>
    </row>
    <row r="80" spans="1:12" x14ac:dyDescent="0.3">
      <c r="A80">
        <v>58</v>
      </c>
      <c r="B80" s="60"/>
      <c r="C80" s="61"/>
      <c r="D80" s="42"/>
      <c r="E80" s="43"/>
      <c r="F80" s="29"/>
      <c r="G80" s="13">
        <v>0</v>
      </c>
      <c r="H80" s="13">
        <v>0</v>
      </c>
      <c r="I80" s="13">
        <f t="shared" si="3"/>
        <v>0</v>
      </c>
      <c r="J80" s="13"/>
      <c r="K80" s="13"/>
      <c r="L80" s="13">
        <f t="shared" si="4"/>
        <v>0</v>
      </c>
    </row>
    <row r="81" spans="1:12" x14ac:dyDescent="0.3">
      <c r="A81">
        <v>59</v>
      </c>
      <c r="B81" s="60"/>
      <c r="C81" s="61"/>
      <c r="D81" s="42"/>
      <c r="E81" s="43"/>
      <c r="F81" s="29"/>
      <c r="G81" s="13">
        <v>0</v>
      </c>
      <c r="H81" s="13">
        <v>0</v>
      </c>
      <c r="I81" s="13">
        <f t="shared" si="3"/>
        <v>0</v>
      </c>
      <c r="J81" s="13"/>
      <c r="K81" s="13"/>
      <c r="L81" s="13">
        <f t="shared" si="4"/>
        <v>0</v>
      </c>
    </row>
    <row r="82" spans="1:12" x14ac:dyDescent="0.3">
      <c r="A82">
        <v>60</v>
      </c>
      <c r="B82" s="60"/>
      <c r="C82" s="61"/>
      <c r="D82" s="42"/>
      <c r="E82" s="43"/>
      <c r="F82" s="29"/>
      <c r="G82" s="13">
        <v>0</v>
      </c>
      <c r="H82" s="13">
        <v>0</v>
      </c>
      <c r="I82" s="13">
        <f t="shared" si="3"/>
        <v>0</v>
      </c>
      <c r="J82" s="13"/>
      <c r="K82" s="13"/>
      <c r="L82" s="13">
        <f t="shared" si="4"/>
        <v>0</v>
      </c>
    </row>
    <row r="83" spans="1:12" x14ac:dyDescent="0.3">
      <c r="B83" s="54"/>
      <c r="C83" s="55"/>
      <c r="D83" s="4"/>
      <c r="E83" s="4"/>
      <c r="F83" s="12" t="s">
        <v>78</v>
      </c>
      <c r="G83" s="20">
        <f>SUM(G53:G82)+G47</f>
        <v>0</v>
      </c>
      <c r="H83" s="20">
        <f t="shared" ref="H83:L83" si="5">SUM(H53:H82)+H47</f>
        <v>0</v>
      </c>
      <c r="I83" s="20">
        <f t="shared" si="5"/>
        <v>0</v>
      </c>
      <c r="J83" s="20">
        <f t="shared" si="5"/>
        <v>0</v>
      </c>
      <c r="K83" s="20">
        <f t="shared" si="5"/>
        <v>0</v>
      </c>
      <c r="L83" s="20">
        <f t="shared" si="5"/>
        <v>0</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IF(B11=0,"",B11)</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0" spans="3:12" x14ac:dyDescent="0.3">
      <c r="G100" t="s">
        <v>91</v>
      </c>
    </row>
    <row r="101" spans="3:12" x14ac:dyDescent="0.3">
      <c r="C101" s="6" t="s">
        <v>92</v>
      </c>
      <c r="D101" s="7"/>
      <c r="E101" t="s">
        <v>93</v>
      </c>
    </row>
    <row r="103" spans="3:12" x14ac:dyDescent="0.3">
      <c r="C103" s="6" t="s">
        <v>94</v>
      </c>
      <c r="D103" s="7"/>
      <c r="L103" s="6" t="str">
        <f>IF(D4=0,"",D4)</f>
        <v/>
      </c>
    </row>
    <row r="112" spans="3:12" x14ac:dyDescent="0.3">
      <c r="D112" s="16"/>
    </row>
    <row r="113" spans="4:4" x14ac:dyDescent="0.3">
      <c r="D113" s="16"/>
    </row>
    <row r="114" spans="4:4" x14ac:dyDescent="0.3">
      <c r="D114" s="16"/>
    </row>
    <row r="115" spans="4:4" x14ac:dyDescent="0.3">
      <c r="D115" s="16"/>
    </row>
    <row r="116" spans="4:4" x14ac:dyDescent="0.3">
      <c r="D116" s="16"/>
    </row>
    <row r="117" spans="4:4" x14ac:dyDescent="0.3">
      <c r="D117" s="16"/>
    </row>
    <row r="118" spans="4:4" x14ac:dyDescent="0.3">
      <c r="D118" s="16"/>
    </row>
    <row r="119" spans="4:4" x14ac:dyDescent="0.3">
      <c r="D119" s="16"/>
    </row>
  </sheetData>
  <sheetProtection password="CB6C" sheet="1" objects="1" scenarios="1" selectLockedCells="1"/>
  <customSheetViews>
    <customSheetView guid="{6A167086-9E29-47E7-8144-8AFE691468D8}" fitToPage="1" topLeftCell="C1">
      <selection activeCell="K4" sqref="K4"/>
      <pageMargins left="0" right="0" top="0" bottom="0" header="0" footer="0"/>
      <pageSetup paperSize="5" scale="72" fitToHeight="2" orientation="landscape" r:id="rId1"/>
    </customSheetView>
  </customSheetViews>
  <mergeCells count="76">
    <mergeCell ref="A1:L1"/>
    <mergeCell ref="G5:I5"/>
    <mergeCell ref="B7:C7"/>
    <mergeCell ref="B11:C11"/>
    <mergeCell ref="G3:I3"/>
    <mergeCell ref="B12:C12"/>
    <mergeCell ref="G7:L14"/>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83:C83"/>
    <mergeCell ref="C5:D5"/>
    <mergeCell ref="C3:D3"/>
    <mergeCell ref="B14:F14"/>
    <mergeCell ref="G4:I4"/>
    <mergeCell ref="B48:L49"/>
    <mergeCell ref="B78:C78"/>
    <mergeCell ref="B79:C79"/>
    <mergeCell ref="B80:C80"/>
    <mergeCell ref="B81:C81"/>
    <mergeCell ref="B82:C82"/>
    <mergeCell ref="B73:C73"/>
    <mergeCell ref="B74:C74"/>
    <mergeCell ref="B75:C75"/>
    <mergeCell ref="B76:C76"/>
    <mergeCell ref="B77:C77"/>
  </mergeCells>
  <pageMargins left="0.45" right="0.45" top="0.25" bottom="0.25" header="0.3" footer="0.3"/>
  <pageSetup paperSize="5" scale="72" fitToHeight="2" orientation="landscape" r:id="rId2"/>
  <headerFooter>
    <oddFooter>&amp;R&amp;A &amp;"-,Bold"Page&amp;P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selection sqref="A1:J1"/>
    </sheetView>
  </sheetViews>
  <sheetFormatPr defaultRowHeight="14.4" x14ac:dyDescent="0.3"/>
  <sheetData>
    <row r="1" spans="1:10" ht="22.8" x14ac:dyDescent="0.3">
      <c r="A1" s="70" t="s">
        <v>95</v>
      </c>
      <c r="B1" s="70"/>
      <c r="C1" s="70"/>
      <c r="D1" s="70"/>
      <c r="E1" s="70"/>
      <c r="F1" s="70"/>
      <c r="G1" s="70"/>
      <c r="H1" s="70"/>
      <c r="I1" s="70"/>
      <c r="J1" s="70"/>
    </row>
    <row r="2" spans="1:10" ht="15.6" x14ac:dyDescent="0.3">
      <c r="A2" s="44"/>
    </row>
    <row r="3" spans="1:10" ht="21" x14ac:dyDescent="0.3">
      <c r="A3" s="71" t="s">
        <v>96</v>
      </c>
      <c r="B3" s="71"/>
      <c r="C3" s="71"/>
      <c r="D3" s="71"/>
      <c r="E3" s="71"/>
      <c r="F3" s="71"/>
      <c r="G3" s="71"/>
      <c r="H3" s="71"/>
      <c r="I3" s="71"/>
      <c r="J3" s="71"/>
    </row>
    <row r="4" spans="1:10" ht="15.6" x14ac:dyDescent="0.3">
      <c r="A4" s="44"/>
    </row>
    <row r="5" spans="1:10" ht="15.6" x14ac:dyDescent="0.3">
      <c r="A5" s="45" t="s">
        <v>97</v>
      </c>
    </row>
    <row r="6" spans="1:10" x14ac:dyDescent="0.3">
      <c r="A6" s="46" t="s">
        <v>98</v>
      </c>
    </row>
    <row r="7" spans="1:10" x14ac:dyDescent="0.3">
      <c r="A7" s="47" t="s">
        <v>99</v>
      </c>
    </row>
    <row r="8" spans="1:10" x14ac:dyDescent="0.3">
      <c r="A8" s="47" t="s">
        <v>100</v>
      </c>
    </row>
    <row r="9" spans="1:10" x14ac:dyDescent="0.3">
      <c r="A9" s="47" t="s">
        <v>101</v>
      </c>
    </row>
    <row r="10" spans="1:10" x14ac:dyDescent="0.3">
      <c r="A10" s="47" t="s">
        <v>102</v>
      </c>
    </row>
    <row r="11" spans="1:10" x14ac:dyDescent="0.3">
      <c r="A11" s="47" t="s">
        <v>103</v>
      </c>
    </row>
    <row r="12" spans="1:10" x14ac:dyDescent="0.3">
      <c r="A12" s="47"/>
    </row>
    <row r="13" spans="1:10" x14ac:dyDescent="0.3">
      <c r="A13" s="47" t="s">
        <v>104</v>
      </c>
    </row>
    <row r="14" spans="1:10" x14ac:dyDescent="0.3">
      <c r="A14" s="47" t="s">
        <v>105</v>
      </c>
    </row>
    <row r="15" spans="1:10" x14ac:dyDescent="0.3">
      <c r="A15" s="47" t="s">
        <v>106</v>
      </c>
    </row>
    <row r="16" spans="1:10" x14ac:dyDescent="0.3">
      <c r="A16" s="47" t="s">
        <v>107</v>
      </c>
    </row>
    <row r="18" spans="1:2" x14ac:dyDescent="0.3">
      <c r="A18" s="47" t="s">
        <v>108</v>
      </c>
    </row>
    <row r="19" spans="1:2" x14ac:dyDescent="0.3">
      <c r="A19" s="47" t="s">
        <v>109</v>
      </c>
    </row>
    <row r="20" spans="1:2" x14ac:dyDescent="0.3">
      <c r="A20" s="48" t="s">
        <v>110</v>
      </c>
      <c r="B20" t="s">
        <v>111</v>
      </c>
    </row>
    <row r="21" spans="1:2" x14ac:dyDescent="0.3">
      <c r="A21" s="48" t="s">
        <v>112</v>
      </c>
      <c r="B21" t="s">
        <v>113</v>
      </c>
    </row>
    <row r="22" spans="1:2" x14ac:dyDescent="0.3">
      <c r="A22" s="49" t="s">
        <v>114</v>
      </c>
    </row>
    <row r="23" spans="1:2" x14ac:dyDescent="0.3">
      <c r="A23" s="49" t="s">
        <v>115</v>
      </c>
    </row>
    <row r="24" spans="1:2" x14ac:dyDescent="0.3">
      <c r="A24" s="49" t="s">
        <v>116</v>
      </c>
    </row>
    <row r="25" spans="1:2" x14ac:dyDescent="0.3">
      <c r="A25" s="49" t="s">
        <v>117</v>
      </c>
    </row>
    <row r="26" spans="1:2" x14ac:dyDescent="0.3">
      <c r="A26" s="49" t="s">
        <v>118</v>
      </c>
    </row>
    <row r="27" spans="1:2" x14ac:dyDescent="0.3">
      <c r="A27" s="48" t="s">
        <v>119</v>
      </c>
      <c r="B27" t="s">
        <v>120</v>
      </c>
    </row>
    <row r="28" spans="1:2" x14ac:dyDescent="0.3">
      <c r="A28" s="48" t="s">
        <v>121</v>
      </c>
      <c r="B28" t="s">
        <v>122</v>
      </c>
    </row>
    <row r="29" spans="1:2" x14ac:dyDescent="0.3">
      <c r="A29" s="48" t="s">
        <v>123</v>
      </c>
      <c r="B29" t="s">
        <v>124</v>
      </c>
    </row>
    <row r="30" spans="1:2" x14ac:dyDescent="0.3">
      <c r="A30" s="48" t="s">
        <v>125</v>
      </c>
      <c r="B30" t="s">
        <v>126</v>
      </c>
    </row>
    <row r="31" spans="1:2" x14ac:dyDescent="0.3">
      <c r="A31" s="48" t="s">
        <v>127</v>
      </c>
      <c r="B31" t="s">
        <v>128</v>
      </c>
    </row>
    <row r="32" spans="1:2" x14ac:dyDescent="0.3">
      <c r="A32" s="48" t="s">
        <v>129</v>
      </c>
      <c r="B32" t="s">
        <v>130</v>
      </c>
    </row>
    <row r="33" spans="1:2" x14ac:dyDescent="0.3">
      <c r="A33" s="48" t="s">
        <v>114</v>
      </c>
      <c r="B33" t="s">
        <v>131</v>
      </c>
    </row>
    <row r="34" spans="1:2" x14ac:dyDescent="0.3">
      <c r="A34" s="48" t="s">
        <v>132</v>
      </c>
      <c r="B34" t="s">
        <v>133</v>
      </c>
    </row>
    <row r="35" spans="1:2" x14ac:dyDescent="0.3">
      <c r="A35" s="48"/>
      <c r="B35" t="s">
        <v>134</v>
      </c>
    </row>
    <row r="36" spans="1:2" x14ac:dyDescent="0.3">
      <c r="A36" s="48"/>
      <c r="B36" t="s">
        <v>135</v>
      </c>
    </row>
    <row r="37" spans="1:2" x14ac:dyDescent="0.3">
      <c r="A37" s="48" t="s">
        <v>136</v>
      </c>
      <c r="B37" t="s">
        <v>137</v>
      </c>
    </row>
    <row r="38" spans="1:2" x14ac:dyDescent="0.3">
      <c r="A38" s="48" t="s">
        <v>138</v>
      </c>
      <c r="B38" t="s">
        <v>139</v>
      </c>
    </row>
    <row r="39" spans="1:2" x14ac:dyDescent="0.3">
      <c r="B39" t="s">
        <v>140</v>
      </c>
    </row>
    <row r="40" spans="1:2" x14ac:dyDescent="0.3">
      <c r="A40" s="47"/>
    </row>
    <row r="41" spans="1:2" x14ac:dyDescent="0.3">
      <c r="A41" s="47" t="s">
        <v>141</v>
      </c>
    </row>
    <row r="42" spans="1:2" x14ac:dyDescent="0.3">
      <c r="A42" s="48" t="s">
        <v>110</v>
      </c>
      <c r="B42" t="s">
        <v>142</v>
      </c>
    </row>
    <row r="43" spans="1:2" x14ac:dyDescent="0.3">
      <c r="A43" s="48" t="s">
        <v>112</v>
      </c>
      <c r="B43" t="s">
        <v>143</v>
      </c>
    </row>
    <row r="44" spans="1:2" x14ac:dyDescent="0.3">
      <c r="A44" s="48" t="s">
        <v>144</v>
      </c>
      <c r="B44" t="s">
        <v>145</v>
      </c>
    </row>
    <row r="45" spans="1:2" x14ac:dyDescent="0.3">
      <c r="A45" s="48"/>
      <c r="B45" t="s">
        <v>146</v>
      </c>
    </row>
    <row r="46" spans="1:2" x14ac:dyDescent="0.3">
      <c r="A46" s="48"/>
      <c r="B46" t="s">
        <v>147</v>
      </c>
    </row>
    <row r="47" spans="1:2" x14ac:dyDescent="0.3">
      <c r="A47" s="48"/>
      <c r="B47" t="s">
        <v>148</v>
      </c>
    </row>
    <row r="48" spans="1:2" x14ac:dyDescent="0.3">
      <c r="A48" s="48"/>
      <c r="B48" t="s">
        <v>149</v>
      </c>
    </row>
    <row r="49" spans="1:2" x14ac:dyDescent="0.3">
      <c r="A49" s="48" t="s">
        <v>150</v>
      </c>
      <c r="B49" t="s">
        <v>151</v>
      </c>
    </row>
    <row r="50" spans="1:2" x14ac:dyDescent="0.3">
      <c r="A50" s="48"/>
      <c r="B50" t="s">
        <v>152</v>
      </c>
    </row>
    <row r="51" spans="1:2" x14ac:dyDescent="0.3">
      <c r="A51" s="48"/>
      <c r="B51" t="s">
        <v>153</v>
      </c>
    </row>
    <row r="52" spans="1:2" x14ac:dyDescent="0.3">
      <c r="A52" s="48" t="s">
        <v>119</v>
      </c>
      <c r="B52" t="s">
        <v>154</v>
      </c>
    </row>
    <row r="53" spans="1:2" x14ac:dyDescent="0.3">
      <c r="A53" s="48" t="s">
        <v>121</v>
      </c>
      <c r="B53" t="s">
        <v>155</v>
      </c>
    </row>
    <row r="54" spans="1:2" x14ac:dyDescent="0.3">
      <c r="A54" s="48" t="s">
        <v>123</v>
      </c>
      <c r="B54" t="s">
        <v>156</v>
      </c>
    </row>
    <row r="55" spans="1:2" ht="15.6" x14ac:dyDescent="0.3">
      <c r="A55" s="44"/>
    </row>
    <row r="56" spans="1:2" ht="15.6" x14ac:dyDescent="0.3">
      <c r="A56" s="44"/>
    </row>
    <row r="57" spans="1:2" ht="15.6" x14ac:dyDescent="0.3">
      <c r="A57" s="45" t="s">
        <v>157</v>
      </c>
    </row>
    <row r="58" spans="1:2" x14ac:dyDescent="0.3">
      <c r="A58" s="46" t="s">
        <v>158</v>
      </c>
    </row>
    <row r="59" spans="1:2" x14ac:dyDescent="0.3">
      <c r="A59" s="46" t="s">
        <v>159</v>
      </c>
    </row>
    <row r="60" spans="1:2" x14ac:dyDescent="0.3">
      <c r="A60" s="46" t="s">
        <v>160</v>
      </c>
    </row>
    <row r="61" spans="1:2" x14ac:dyDescent="0.3">
      <c r="A61" s="46" t="s">
        <v>161</v>
      </c>
    </row>
    <row r="62" spans="1:2" x14ac:dyDescent="0.3">
      <c r="A62" s="46" t="s">
        <v>162</v>
      </c>
    </row>
    <row r="63" spans="1:2" x14ac:dyDescent="0.3">
      <c r="A63" t="s">
        <v>163</v>
      </c>
    </row>
    <row r="64" spans="1:2" x14ac:dyDescent="0.3">
      <c r="A64" t="s">
        <v>164</v>
      </c>
    </row>
    <row r="65" spans="1:1" x14ac:dyDescent="0.3">
      <c r="A65" s="46" t="s">
        <v>161</v>
      </c>
    </row>
    <row r="102" spans="1:1" x14ac:dyDescent="0.3">
      <c r="A102" s="19" t="s">
        <v>165</v>
      </c>
    </row>
    <row r="103" spans="1:1" x14ac:dyDescent="0.3">
      <c r="A103" s="19" t="s">
        <v>166</v>
      </c>
    </row>
  </sheetData>
  <mergeCells count="2">
    <mergeCell ref="A1:J1"/>
    <mergeCell ref="A3:J3"/>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9"/>
  <sheetViews>
    <sheetView topLeftCell="B3" workbookViewId="0">
      <selection activeCell="H18" sqref="H18"/>
    </sheetView>
  </sheetViews>
  <sheetFormatPr defaultColWidth="9.109375"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167</v>
      </c>
      <c r="B1" s="67"/>
      <c r="C1" s="67"/>
      <c r="D1" s="67"/>
      <c r="E1" s="67"/>
      <c r="F1" s="67"/>
      <c r="G1" s="67"/>
      <c r="H1" s="67"/>
      <c r="I1" s="67"/>
      <c r="J1" s="67"/>
      <c r="K1" s="67"/>
      <c r="L1" s="67"/>
    </row>
    <row r="2" spans="1:12" x14ac:dyDescent="0.3">
      <c r="K2" s="21" t="s">
        <v>1</v>
      </c>
      <c r="L2" s="25"/>
    </row>
    <row r="3" spans="1:12" ht="15.6" x14ac:dyDescent="0.3">
      <c r="B3" s="30" t="s">
        <v>2</v>
      </c>
      <c r="C3" s="74" t="s">
        <v>168</v>
      </c>
      <c r="D3" s="74"/>
      <c r="F3" s="32" t="s">
        <v>3</v>
      </c>
      <c r="G3" s="74" t="s">
        <v>168</v>
      </c>
      <c r="H3" s="74"/>
      <c r="I3" s="74"/>
      <c r="K3" s="21" t="s">
        <v>4</v>
      </c>
      <c r="L3" s="25"/>
    </row>
    <row r="4" spans="1:12" ht="21.75" customHeight="1" x14ac:dyDescent="0.3">
      <c r="B4" s="37" t="s">
        <v>5</v>
      </c>
      <c r="C4" s="40"/>
      <c r="D4" s="40"/>
      <c r="F4" s="32" t="s">
        <v>6</v>
      </c>
      <c r="G4" s="75" t="s">
        <v>169</v>
      </c>
      <c r="H4" s="75"/>
      <c r="I4" s="75"/>
      <c r="K4" s="21" t="s">
        <v>7</v>
      </c>
      <c r="L4" s="27"/>
    </row>
    <row r="5" spans="1:12" ht="15.6" x14ac:dyDescent="0.3">
      <c r="B5" s="37" t="s">
        <v>8</v>
      </c>
      <c r="C5" s="74" t="s">
        <v>170</v>
      </c>
      <c r="D5" s="74"/>
      <c r="F5" s="15"/>
      <c r="G5" s="68" t="s">
        <v>9</v>
      </c>
      <c r="H5" s="68"/>
      <c r="I5" s="68"/>
      <c r="K5" s="21" t="s">
        <v>10</v>
      </c>
      <c r="L5" s="53"/>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
        <v>172</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+G4</f>
        <v>Jeff Klaasen</v>
      </c>
      <c r="C11" s="76"/>
      <c r="D11" t="s">
        <v>16</v>
      </c>
      <c r="F11" s="15"/>
      <c r="G11" s="59"/>
      <c r="H11" s="59"/>
      <c r="I11" s="59"/>
      <c r="J11" s="59"/>
      <c r="K11" s="59"/>
      <c r="L11" s="59"/>
    </row>
    <row r="12" spans="1:12" ht="15.6" x14ac:dyDescent="0.3">
      <c r="A12" s="36" t="s">
        <v>17</v>
      </c>
      <c r="B12" s="76" t="s">
        <v>173</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ht="15" thickBot="1" x14ac:dyDescent="0.35">
      <c r="A17">
        <v>1</v>
      </c>
      <c r="B17" s="77" t="s">
        <v>174</v>
      </c>
      <c r="C17" s="78"/>
      <c r="D17" s="28" t="s">
        <v>175</v>
      </c>
      <c r="E17" s="34" t="s">
        <v>176</v>
      </c>
      <c r="F17" s="29" t="s">
        <v>177</v>
      </c>
      <c r="G17" s="14">
        <v>623097.94999999995</v>
      </c>
      <c r="H17" s="14">
        <v>0</v>
      </c>
      <c r="I17" s="13">
        <f>+G17+H17</f>
        <v>623097.94999999995</v>
      </c>
      <c r="J17" s="14">
        <v>138897.29</v>
      </c>
      <c r="K17" s="13"/>
      <c r="L17" s="13">
        <f>+I17-J17-K17</f>
        <v>484200.65999999992</v>
      </c>
    </row>
    <row r="18" spans="1:12" x14ac:dyDescent="0.3">
      <c r="A18">
        <v>2</v>
      </c>
      <c r="B18" s="77"/>
      <c r="C18" s="78"/>
      <c r="D18" s="28"/>
      <c r="E18" s="34"/>
      <c r="F18" s="29"/>
      <c r="G18" s="14">
        <v>0</v>
      </c>
      <c r="H18" s="14">
        <v>0</v>
      </c>
      <c r="I18" s="13">
        <f t="shared" ref="I18:I46" si="0">+G18+H18</f>
        <v>0</v>
      </c>
      <c r="J18" s="14">
        <v>0</v>
      </c>
      <c r="K18" s="13"/>
      <c r="L18" s="13">
        <f t="shared" ref="L18:L46" si="1">+I18-J18-K18</f>
        <v>0</v>
      </c>
    </row>
    <row r="19" spans="1:12" x14ac:dyDescent="0.3">
      <c r="A19">
        <v>3</v>
      </c>
      <c r="B19" s="72" t="s">
        <v>178</v>
      </c>
      <c r="C19" s="73"/>
      <c r="D19" s="28" t="s">
        <v>179</v>
      </c>
      <c r="E19" s="34" t="s">
        <v>180</v>
      </c>
      <c r="F19" s="29" t="s">
        <v>181</v>
      </c>
      <c r="G19" s="14">
        <v>62376</v>
      </c>
      <c r="H19" s="14">
        <v>0</v>
      </c>
      <c r="I19" s="13">
        <f t="shared" si="0"/>
        <v>62376</v>
      </c>
      <c r="J19" s="14">
        <v>62376</v>
      </c>
      <c r="K19" s="13"/>
      <c r="L19" s="13">
        <f t="shared" si="1"/>
        <v>0</v>
      </c>
    </row>
    <row r="20" spans="1:12" x14ac:dyDescent="0.3">
      <c r="A20">
        <v>4</v>
      </c>
      <c r="B20" s="51" t="s">
        <v>182</v>
      </c>
      <c r="C20" s="52"/>
      <c r="D20" s="28" t="s">
        <v>183</v>
      </c>
      <c r="E20" s="34" t="s">
        <v>184</v>
      </c>
      <c r="F20" s="29" t="s">
        <v>185</v>
      </c>
      <c r="G20" s="14">
        <v>15930</v>
      </c>
      <c r="H20" s="14">
        <v>0</v>
      </c>
      <c r="I20" s="13">
        <f t="shared" si="0"/>
        <v>15930</v>
      </c>
      <c r="J20" s="14">
        <v>0</v>
      </c>
      <c r="K20" s="13"/>
      <c r="L20" s="13">
        <f>+I20-J20-K20</f>
        <v>15930</v>
      </c>
    </row>
    <row r="21" spans="1:12" x14ac:dyDescent="0.3">
      <c r="A21">
        <v>5</v>
      </c>
      <c r="B21" s="51"/>
      <c r="C21" s="52"/>
      <c r="D21" s="28"/>
      <c r="E21" s="34"/>
      <c r="F21" s="29" t="s">
        <v>185</v>
      </c>
      <c r="G21" s="14">
        <f>84118.22-62376</f>
        <v>21742.22</v>
      </c>
      <c r="H21" s="14">
        <v>0</v>
      </c>
      <c r="I21" s="13">
        <f t="shared" si="0"/>
        <v>21742.22</v>
      </c>
      <c r="J21" s="14"/>
      <c r="K21" s="13"/>
      <c r="L21" s="13">
        <f t="shared" si="1"/>
        <v>21742.22</v>
      </c>
    </row>
    <row r="22" spans="1:12" x14ac:dyDescent="0.3">
      <c r="A22">
        <v>6</v>
      </c>
      <c r="B22" s="72"/>
      <c r="C22" s="73"/>
      <c r="D22" s="28"/>
      <c r="E22" s="34"/>
      <c r="F22" s="29"/>
      <c r="G22" s="14"/>
      <c r="H22" s="14">
        <v>0</v>
      </c>
      <c r="I22" s="13">
        <f>+G22+H22</f>
        <v>0</v>
      </c>
      <c r="J22" s="14"/>
      <c r="K22" s="13"/>
      <c r="L22" s="13">
        <f t="shared" si="1"/>
        <v>0</v>
      </c>
    </row>
    <row r="23" spans="1:12" x14ac:dyDescent="0.3">
      <c r="A23">
        <v>7</v>
      </c>
      <c r="B23" s="72" t="s">
        <v>186</v>
      </c>
      <c r="C23" s="73"/>
      <c r="D23" s="28" t="s">
        <v>187</v>
      </c>
      <c r="E23" s="34" t="s">
        <v>188</v>
      </c>
      <c r="F23" s="29" t="s">
        <v>189</v>
      </c>
      <c r="G23" s="14">
        <v>424.4</v>
      </c>
      <c r="H23" s="14">
        <v>0</v>
      </c>
      <c r="I23" s="13">
        <f t="shared" si="0"/>
        <v>424.4</v>
      </c>
      <c r="J23" s="14">
        <v>424.4</v>
      </c>
      <c r="K23" s="13"/>
      <c r="L23" s="13">
        <f t="shared" si="1"/>
        <v>0</v>
      </c>
    </row>
    <row r="24" spans="1:12" x14ac:dyDescent="0.3">
      <c r="A24">
        <v>8</v>
      </c>
      <c r="B24" s="72" t="s">
        <v>190</v>
      </c>
      <c r="C24" s="73"/>
      <c r="D24" s="28" t="s">
        <v>191</v>
      </c>
      <c r="E24" s="34" t="s">
        <v>192</v>
      </c>
      <c r="F24" s="29" t="s">
        <v>189</v>
      </c>
      <c r="G24" s="14">
        <v>47734</v>
      </c>
      <c r="H24" s="14">
        <v>0</v>
      </c>
      <c r="I24" s="13">
        <f>+G24+H24</f>
        <v>47734</v>
      </c>
      <c r="J24" s="14">
        <v>47734</v>
      </c>
      <c r="K24" s="13"/>
      <c r="L24" s="13">
        <f t="shared" si="1"/>
        <v>0</v>
      </c>
    </row>
    <row r="25" spans="1:12" x14ac:dyDescent="0.3">
      <c r="A25">
        <v>9</v>
      </c>
      <c r="B25" s="72"/>
      <c r="C25" s="73"/>
      <c r="D25" s="28"/>
      <c r="E25" s="34"/>
      <c r="F25" s="29" t="s">
        <v>189</v>
      </c>
      <c r="G25" s="14">
        <f>56373-424.4-47734</f>
        <v>8214.5999999999985</v>
      </c>
      <c r="H25" s="14">
        <v>0</v>
      </c>
      <c r="I25" s="13">
        <f t="shared" si="0"/>
        <v>8214.5999999999985</v>
      </c>
      <c r="J25" s="14"/>
      <c r="K25" s="13"/>
      <c r="L25" s="13">
        <f t="shared" si="1"/>
        <v>8214.5999999999985</v>
      </c>
    </row>
    <row r="26" spans="1:12" x14ac:dyDescent="0.3">
      <c r="A26">
        <v>10</v>
      </c>
      <c r="B26" s="72"/>
      <c r="C26" s="73"/>
      <c r="D26" s="28"/>
      <c r="E26" s="34"/>
      <c r="F26" s="29"/>
      <c r="G26" s="14"/>
      <c r="H26" s="14">
        <v>0</v>
      </c>
      <c r="I26" s="13">
        <f t="shared" ref="I26:I34" si="2">+G26+H26</f>
        <v>0</v>
      </c>
      <c r="J26" s="14"/>
      <c r="K26" s="13"/>
      <c r="L26" s="13">
        <f t="shared" si="1"/>
        <v>0</v>
      </c>
    </row>
    <row r="27" spans="1:12" x14ac:dyDescent="0.3">
      <c r="A27">
        <v>11</v>
      </c>
      <c r="B27" s="72"/>
      <c r="C27" s="73"/>
      <c r="D27" s="28"/>
      <c r="E27" s="34"/>
      <c r="F27" s="29"/>
      <c r="G27" s="14"/>
      <c r="H27" s="14">
        <v>0</v>
      </c>
      <c r="I27" s="13">
        <f t="shared" si="2"/>
        <v>0</v>
      </c>
      <c r="J27" s="14"/>
      <c r="K27" s="13"/>
      <c r="L27" s="13">
        <f t="shared" si="1"/>
        <v>0</v>
      </c>
    </row>
    <row r="28" spans="1:12" x14ac:dyDescent="0.3">
      <c r="A28">
        <v>12</v>
      </c>
      <c r="B28" s="72"/>
      <c r="C28" s="73"/>
      <c r="D28" s="28"/>
      <c r="E28" s="34"/>
      <c r="F28" s="29"/>
      <c r="G28" s="14"/>
      <c r="H28" s="14">
        <v>0</v>
      </c>
      <c r="I28" s="13">
        <f t="shared" si="2"/>
        <v>0</v>
      </c>
      <c r="J28" s="14"/>
      <c r="K28" s="13"/>
      <c r="L28" s="13">
        <f t="shared" si="1"/>
        <v>0</v>
      </c>
    </row>
    <row r="29" spans="1:12" x14ac:dyDescent="0.3">
      <c r="A29">
        <v>13</v>
      </c>
      <c r="B29" s="72" t="s">
        <v>11</v>
      </c>
      <c r="C29" s="73"/>
      <c r="D29" s="28" t="s">
        <v>193</v>
      </c>
      <c r="E29" s="34"/>
      <c r="F29" s="29" t="s">
        <v>194</v>
      </c>
      <c r="G29" s="14">
        <v>800</v>
      </c>
      <c r="H29" s="14">
        <v>0</v>
      </c>
      <c r="I29" s="13">
        <f t="shared" si="2"/>
        <v>800</v>
      </c>
      <c r="J29" s="14">
        <v>800</v>
      </c>
      <c r="K29" s="13"/>
      <c r="L29" s="13">
        <f t="shared" si="1"/>
        <v>0</v>
      </c>
    </row>
    <row r="30" spans="1:12" x14ac:dyDescent="0.3">
      <c r="A30">
        <v>14</v>
      </c>
      <c r="B30" s="51" t="s">
        <v>195</v>
      </c>
      <c r="C30" s="52"/>
      <c r="D30" s="28" t="s">
        <v>196</v>
      </c>
      <c r="E30" s="34" t="s">
        <v>197</v>
      </c>
      <c r="F30" s="29" t="s">
        <v>194</v>
      </c>
      <c r="G30" s="14">
        <v>2635</v>
      </c>
      <c r="H30" s="14">
        <v>0</v>
      </c>
      <c r="I30" s="13">
        <f t="shared" si="2"/>
        <v>2635</v>
      </c>
      <c r="J30" s="14">
        <v>2635</v>
      </c>
      <c r="K30" s="13"/>
      <c r="L30" s="13">
        <f t="shared" si="1"/>
        <v>0</v>
      </c>
    </row>
    <row r="31" spans="1:12" x14ac:dyDescent="0.3">
      <c r="A31">
        <v>15</v>
      </c>
      <c r="B31" s="72" t="s">
        <v>198</v>
      </c>
      <c r="C31" s="73"/>
      <c r="D31" s="28" t="s">
        <v>199</v>
      </c>
      <c r="E31" s="34" t="s">
        <v>200</v>
      </c>
      <c r="F31" s="29" t="s">
        <v>194</v>
      </c>
      <c r="G31" s="14">
        <v>13445</v>
      </c>
      <c r="H31" s="14">
        <v>0</v>
      </c>
      <c r="I31" s="13">
        <f t="shared" si="2"/>
        <v>13445</v>
      </c>
      <c r="J31" s="14">
        <v>13445</v>
      </c>
      <c r="K31" s="13"/>
      <c r="L31" s="13">
        <f t="shared" si="1"/>
        <v>0</v>
      </c>
    </row>
    <row r="32" spans="1:12" x14ac:dyDescent="0.3">
      <c r="A32">
        <v>16</v>
      </c>
      <c r="B32" s="72" t="s">
        <v>201</v>
      </c>
      <c r="C32" s="73"/>
      <c r="D32" s="28" t="s">
        <v>199</v>
      </c>
      <c r="E32" s="34" t="s">
        <v>202</v>
      </c>
      <c r="F32" s="29" t="s">
        <v>194</v>
      </c>
      <c r="G32" s="14"/>
      <c r="H32" s="14">
        <v>0</v>
      </c>
      <c r="I32" s="13">
        <f t="shared" si="2"/>
        <v>0</v>
      </c>
      <c r="J32" s="14"/>
      <c r="K32" s="13"/>
      <c r="L32" s="13">
        <f t="shared" si="1"/>
        <v>0</v>
      </c>
    </row>
    <row r="33" spans="1:12" x14ac:dyDescent="0.3">
      <c r="A33">
        <v>17</v>
      </c>
      <c r="B33" s="72" t="s">
        <v>203</v>
      </c>
      <c r="C33" s="73"/>
      <c r="D33" s="28" t="s">
        <v>204</v>
      </c>
      <c r="E33" s="34" t="s">
        <v>205</v>
      </c>
      <c r="F33" s="29" t="s">
        <v>194</v>
      </c>
      <c r="G33" s="14">
        <f>6939+11856</f>
        <v>18795</v>
      </c>
      <c r="H33" s="14">
        <v>0</v>
      </c>
      <c r="I33" s="13">
        <f t="shared" si="2"/>
        <v>18795</v>
      </c>
      <c r="J33" s="14">
        <f>11856+6939</f>
        <v>18795</v>
      </c>
      <c r="K33" s="13"/>
      <c r="L33" s="13">
        <f t="shared" si="1"/>
        <v>0</v>
      </c>
    </row>
    <row r="34" spans="1:12" x14ac:dyDescent="0.3">
      <c r="A34">
        <v>18</v>
      </c>
      <c r="B34" s="51"/>
      <c r="C34" s="52"/>
      <c r="D34" s="28"/>
      <c r="E34" s="34"/>
      <c r="F34" s="29" t="s">
        <v>194</v>
      </c>
      <c r="G34" s="14">
        <f>68540.77-15930+1650-800-2635-13445-18795</f>
        <v>18585.770000000004</v>
      </c>
      <c r="H34" s="14">
        <v>0</v>
      </c>
      <c r="I34" s="13">
        <f t="shared" si="2"/>
        <v>18585.770000000004</v>
      </c>
      <c r="J34" s="14">
        <v>0</v>
      </c>
      <c r="K34" s="13"/>
      <c r="L34" s="13">
        <f t="shared" si="1"/>
        <v>18585.770000000004</v>
      </c>
    </row>
    <row r="35" spans="1:12" x14ac:dyDescent="0.3">
      <c r="A35">
        <v>19</v>
      </c>
      <c r="B35" s="51"/>
      <c r="C35" s="52"/>
      <c r="D35" s="28"/>
      <c r="E35" s="34"/>
      <c r="F35" s="29" t="s">
        <v>206</v>
      </c>
      <c r="G35" s="14">
        <f>85320-68518</f>
        <v>16802</v>
      </c>
      <c r="H35" s="14">
        <v>0</v>
      </c>
      <c r="I35" s="13">
        <f t="shared" si="0"/>
        <v>16802</v>
      </c>
      <c r="J35" s="14">
        <v>0</v>
      </c>
      <c r="K35" s="13"/>
      <c r="L35" s="13">
        <f t="shared" si="1"/>
        <v>16802</v>
      </c>
    </row>
    <row r="36" spans="1:12" x14ac:dyDescent="0.3">
      <c r="A36">
        <v>20</v>
      </c>
      <c r="B36" s="51" t="s">
        <v>207</v>
      </c>
      <c r="C36" s="52"/>
      <c r="D36" s="28" t="s">
        <v>208</v>
      </c>
      <c r="E36" s="34" t="s">
        <v>209</v>
      </c>
      <c r="F36" s="29" t="s">
        <v>206</v>
      </c>
      <c r="G36" s="14">
        <v>68518</v>
      </c>
      <c r="H36" s="14">
        <v>0</v>
      </c>
      <c r="I36" s="13">
        <f t="shared" si="0"/>
        <v>68518</v>
      </c>
      <c r="J36" s="14">
        <v>0</v>
      </c>
      <c r="K36" s="13"/>
      <c r="L36" s="13">
        <f t="shared" si="1"/>
        <v>68518</v>
      </c>
    </row>
    <row r="37" spans="1:12" x14ac:dyDescent="0.3">
      <c r="A37">
        <v>21</v>
      </c>
      <c r="B37" s="72" t="s">
        <v>210</v>
      </c>
      <c r="C37" s="73"/>
      <c r="D37" s="28" t="s">
        <v>211</v>
      </c>
      <c r="E37" s="34" t="s">
        <v>212</v>
      </c>
      <c r="F37" s="29" t="s">
        <v>206</v>
      </c>
      <c r="G37" s="14">
        <v>0</v>
      </c>
      <c r="H37" s="14">
        <v>0</v>
      </c>
      <c r="I37" s="13">
        <f t="shared" si="0"/>
        <v>0</v>
      </c>
      <c r="J37" s="14">
        <v>0</v>
      </c>
      <c r="K37" s="13"/>
      <c r="L37" s="13">
        <f t="shared" si="1"/>
        <v>0</v>
      </c>
    </row>
    <row r="38" spans="1:12" x14ac:dyDescent="0.3">
      <c r="A38">
        <v>22</v>
      </c>
      <c r="B38" s="72"/>
      <c r="C38" s="73"/>
      <c r="D38" s="28"/>
      <c r="E38" s="34"/>
      <c r="F38" s="29" t="s">
        <v>213</v>
      </c>
      <c r="G38" s="14">
        <f>20000-14832.5</f>
        <v>5167.5</v>
      </c>
      <c r="H38" s="14">
        <v>0</v>
      </c>
      <c r="I38" s="13">
        <f t="shared" si="0"/>
        <v>5167.5</v>
      </c>
      <c r="J38" s="14"/>
      <c r="K38" s="13"/>
      <c r="L38" s="13">
        <f t="shared" si="1"/>
        <v>5167.5</v>
      </c>
    </row>
    <row r="39" spans="1:12" x14ac:dyDescent="0.3">
      <c r="A39">
        <v>23</v>
      </c>
      <c r="B39" s="72" t="s">
        <v>214</v>
      </c>
      <c r="C39" s="73"/>
      <c r="D39" s="28" t="s">
        <v>215</v>
      </c>
      <c r="E39" s="34" t="s">
        <v>216</v>
      </c>
      <c r="F39" s="29" t="s">
        <v>213</v>
      </c>
      <c r="G39" s="14">
        <v>14832.5</v>
      </c>
      <c r="H39" s="14">
        <v>0</v>
      </c>
      <c r="I39" s="13">
        <f t="shared" si="0"/>
        <v>14832.5</v>
      </c>
      <c r="J39" s="14">
        <v>14832.5</v>
      </c>
      <c r="K39" s="13"/>
      <c r="L39" s="13">
        <f t="shared" si="1"/>
        <v>0</v>
      </c>
    </row>
    <row r="40" spans="1:12" x14ac:dyDescent="0.3">
      <c r="A40">
        <v>24</v>
      </c>
      <c r="B40" s="72"/>
      <c r="C40" s="73"/>
      <c r="D40" s="28"/>
      <c r="E40" s="34"/>
      <c r="F40" s="29"/>
      <c r="G40" s="14"/>
      <c r="H40" s="14">
        <v>0</v>
      </c>
      <c r="I40" s="13">
        <f>+G40+H40</f>
        <v>0</v>
      </c>
      <c r="J40" s="14"/>
      <c r="K40" s="13"/>
      <c r="L40" s="13">
        <f t="shared" si="1"/>
        <v>0</v>
      </c>
    </row>
    <row r="41" spans="1:12" x14ac:dyDescent="0.3">
      <c r="A41">
        <v>25</v>
      </c>
      <c r="B41" s="72"/>
      <c r="C41" s="73"/>
      <c r="D41" s="28"/>
      <c r="E41" s="34"/>
      <c r="F41" s="29"/>
      <c r="G41" s="14"/>
      <c r="H41" s="14"/>
      <c r="I41" s="13">
        <f t="shared" si="0"/>
        <v>0</v>
      </c>
      <c r="J41" s="14">
        <v>0</v>
      </c>
      <c r="K41" s="13"/>
      <c r="L41" s="13">
        <f t="shared" si="1"/>
        <v>0</v>
      </c>
    </row>
    <row r="42" spans="1:12" x14ac:dyDescent="0.3">
      <c r="A42">
        <v>26</v>
      </c>
      <c r="B42" s="72"/>
      <c r="C42" s="73"/>
      <c r="D42" s="28"/>
      <c r="E42" s="34"/>
      <c r="F42" s="29"/>
      <c r="G42" s="14"/>
      <c r="H42" s="14"/>
      <c r="I42" s="13">
        <f t="shared" si="0"/>
        <v>0</v>
      </c>
      <c r="J42" s="14">
        <v>0</v>
      </c>
      <c r="K42" s="13"/>
      <c r="L42" s="13">
        <f>+I42-J42-K42</f>
        <v>0</v>
      </c>
    </row>
    <row r="43" spans="1:12" x14ac:dyDescent="0.3">
      <c r="A43">
        <v>27</v>
      </c>
      <c r="B43" s="72"/>
      <c r="C43" s="73"/>
      <c r="D43" s="28"/>
      <c r="E43" s="34"/>
      <c r="F43" s="29"/>
      <c r="G43" s="14"/>
      <c r="H43" s="14"/>
      <c r="I43" s="13">
        <f t="shared" si="0"/>
        <v>0</v>
      </c>
      <c r="J43" s="14"/>
      <c r="K43" s="13"/>
      <c r="L43" s="13">
        <f t="shared" si="1"/>
        <v>0</v>
      </c>
    </row>
    <row r="44" spans="1:12" x14ac:dyDescent="0.3">
      <c r="A44">
        <v>28</v>
      </c>
      <c r="B44" s="72"/>
      <c r="C44" s="73"/>
      <c r="D44" s="28"/>
      <c r="E44" s="34"/>
      <c r="F44" s="29" t="s">
        <v>217</v>
      </c>
      <c r="G44" s="14">
        <v>48532.35</v>
      </c>
      <c r="H44" s="14">
        <v>0</v>
      </c>
      <c r="I44" s="13">
        <f t="shared" si="0"/>
        <v>48532.35</v>
      </c>
      <c r="J44" s="14"/>
      <c r="K44" s="13"/>
      <c r="L44" s="13">
        <f t="shared" si="1"/>
        <v>48532.35</v>
      </c>
    </row>
    <row r="45" spans="1:12" x14ac:dyDescent="0.3">
      <c r="A45">
        <v>29</v>
      </c>
      <c r="B45" s="72"/>
      <c r="C45" s="73"/>
      <c r="D45" s="28"/>
      <c r="E45" s="34"/>
      <c r="F45" s="29" t="s">
        <v>218</v>
      </c>
      <c r="G45" s="14">
        <v>46433.43</v>
      </c>
      <c r="H45" s="14">
        <v>0</v>
      </c>
      <c r="I45" s="13">
        <f t="shared" si="0"/>
        <v>46433.43</v>
      </c>
      <c r="J45" s="14"/>
      <c r="K45" s="13"/>
      <c r="L45" s="13">
        <f t="shared" si="1"/>
        <v>46433.43</v>
      </c>
    </row>
    <row r="46" spans="1:12" x14ac:dyDescent="0.3">
      <c r="A46">
        <v>30</v>
      </c>
      <c r="B46" s="72"/>
      <c r="C46" s="73"/>
      <c r="D46" s="28"/>
      <c r="E46" s="34"/>
      <c r="F46" s="29" t="s">
        <v>219</v>
      </c>
      <c r="G46" s="14">
        <v>234300</v>
      </c>
      <c r="H46" s="14">
        <v>0</v>
      </c>
      <c r="I46" s="13">
        <f t="shared" si="0"/>
        <v>234300</v>
      </c>
      <c r="J46" s="14">
        <v>234300</v>
      </c>
      <c r="K46" s="13"/>
      <c r="L46" s="13">
        <f t="shared" si="1"/>
        <v>0</v>
      </c>
    </row>
    <row r="47" spans="1:12" x14ac:dyDescent="0.3">
      <c r="B47" s="79"/>
      <c r="C47" s="80"/>
      <c r="D47" s="4"/>
      <c r="E47" s="4"/>
      <c r="F47" s="12" t="s">
        <v>61</v>
      </c>
      <c r="G47" s="20">
        <f>SUM(G17:G46)</f>
        <v>1268365.72</v>
      </c>
      <c r="H47" s="20">
        <f>SUM(H17:H46)</f>
        <v>0</v>
      </c>
      <c r="I47" s="20">
        <f>SUM(I17:I46)</f>
        <v>1268365.72</v>
      </c>
      <c r="J47" s="20">
        <f t="shared" ref="J47:L47" si="3">SUM(J17:J46)</f>
        <v>534239.18999999994</v>
      </c>
      <c r="K47" s="20">
        <f t="shared" si="3"/>
        <v>0</v>
      </c>
      <c r="L47" s="20">
        <f t="shared" si="3"/>
        <v>734126.52999999991</v>
      </c>
    </row>
    <row r="48" spans="1:12" ht="15" customHeight="1"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39.75" customHeight="1"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77"/>
      <c r="C53" s="78"/>
      <c r="D53" s="28"/>
      <c r="E53" s="34"/>
      <c r="F53" s="29"/>
      <c r="G53" s="14">
        <v>0</v>
      </c>
      <c r="H53" s="14">
        <v>0</v>
      </c>
      <c r="I53" s="13">
        <f t="shared" ref="I53:I82" si="4">+G53+H53</f>
        <v>0</v>
      </c>
      <c r="J53" s="14">
        <v>0</v>
      </c>
      <c r="K53" s="13"/>
      <c r="L53" s="13">
        <f t="shared" ref="L53:L82" si="5">+I53-J53-K53</f>
        <v>0</v>
      </c>
    </row>
    <row r="54" spans="1:12" x14ac:dyDescent="0.3">
      <c r="A54">
        <v>32</v>
      </c>
      <c r="B54" s="72"/>
      <c r="C54" s="73"/>
      <c r="D54" s="28"/>
      <c r="E54" s="34"/>
      <c r="F54" s="29"/>
      <c r="G54" s="14">
        <v>0</v>
      </c>
      <c r="H54" s="14">
        <v>0</v>
      </c>
      <c r="I54" s="13">
        <f t="shared" si="4"/>
        <v>0</v>
      </c>
      <c r="J54" s="14"/>
      <c r="K54" s="13"/>
      <c r="L54" s="13">
        <f t="shared" si="5"/>
        <v>0</v>
      </c>
    </row>
    <row r="55" spans="1:12" x14ac:dyDescent="0.3">
      <c r="A55">
        <v>33</v>
      </c>
      <c r="B55" s="72"/>
      <c r="C55" s="73"/>
      <c r="D55" s="28"/>
      <c r="E55" s="34"/>
      <c r="F55" s="29"/>
      <c r="G55" s="14">
        <v>0</v>
      </c>
      <c r="H55" s="14">
        <v>0</v>
      </c>
      <c r="I55" s="13">
        <f t="shared" si="4"/>
        <v>0</v>
      </c>
      <c r="J55" s="14"/>
      <c r="K55" s="13"/>
      <c r="L55" s="13">
        <f t="shared" si="5"/>
        <v>0</v>
      </c>
    </row>
    <row r="56" spans="1:12" x14ac:dyDescent="0.3">
      <c r="A56">
        <v>34</v>
      </c>
      <c r="B56" s="72"/>
      <c r="C56" s="73"/>
      <c r="D56" s="28"/>
      <c r="E56" s="34"/>
      <c r="F56" s="29"/>
      <c r="G56" s="14">
        <v>0</v>
      </c>
      <c r="H56" s="14">
        <v>0</v>
      </c>
      <c r="I56" s="13">
        <f t="shared" si="4"/>
        <v>0</v>
      </c>
      <c r="J56" s="14"/>
      <c r="K56" s="13"/>
      <c r="L56" s="13">
        <f t="shared" si="5"/>
        <v>0</v>
      </c>
    </row>
    <row r="57" spans="1:12" x14ac:dyDescent="0.3">
      <c r="A57">
        <v>35</v>
      </c>
      <c r="B57" s="72"/>
      <c r="C57" s="73"/>
      <c r="D57" s="28"/>
      <c r="E57" s="34"/>
      <c r="F57" s="29"/>
      <c r="G57" s="14">
        <v>0</v>
      </c>
      <c r="H57" s="14">
        <v>0</v>
      </c>
      <c r="I57" s="13">
        <f t="shared" si="4"/>
        <v>0</v>
      </c>
      <c r="J57" s="14"/>
      <c r="K57" s="13"/>
      <c r="L57" s="13">
        <f t="shared" si="5"/>
        <v>0</v>
      </c>
    </row>
    <row r="58" spans="1:12" x14ac:dyDescent="0.3">
      <c r="A58">
        <v>36</v>
      </c>
      <c r="B58" s="72"/>
      <c r="C58" s="73"/>
      <c r="D58" s="28"/>
      <c r="E58" s="34"/>
      <c r="F58" s="29"/>
      <c r="G58" s="14">
        <v>0</v>
      </c>
      <c r="H58" s="14">
        <v>0</v>
      </c>
      <c r="I58" s="13">
        <f t="shared" si="4"/>
        <v>0</v>
      </c>
      <c r="J58" s="14"/>
      <c r="K58" s="13"/>
      <c r="L58" s="13">
        <f t="shared" si="5"/>
        <v>0</v>
      </c>
    </row>
    <row r="59" spans="1:12" x14ac:dyDescent="0.3">
      <c r="A59">
        <v>37</v>
      </c>
      <c r="B59" s="72"/>
      <c r="C59" s="73"/>
      <c r="D59" s="28"/>
      <c r="E59" s="34"/>
      <c r="F59" s="29"/>
      <c r="G59" s="14">
        <v>0</v>
      </c>
      <c r="H59" s="14">
        <v>0</v>
      </c>
      <c r="I59" s="13">
        <f t="shared" si="4"/>
        <v>0</v>
      </c>
      <c r="J59" s="14"/>
      <c r="K59" s="13"/>
      <c r="L59" s="13">
        <f t="shared" si="5"/>
        <v>0</v>
      </c>
    </row>
    <row r="60" spans="1:12" x14ac:dyDescent="0.3">
      <c r="A60">
        <v>38</v>
      </c>
      <c r="B60" s="72"/>
      <c r="C60" s="73"/>
      <c r="D60" s="28"/>
      <c r="E60" s="34"/>
      <c r="F60" s="29"/>
      <c r="G60" s="14">
        <v>0</v>
      </c>
      <c r="H60" s="14">
        <v>0</v>
      </c>
      <c r="I60" s="13">
        <f t="shared" si="4"/>
        <v>0</v>
      </c>
      <c r="J60" s="14"/>
      <c r="K60" s="13"/>
      <c r="L60" s="13">
        <f t="shared" si="5"/>
        <v>0</v>
      </c>
    </row>
    <row r="61" spans="1:12" x14ac:dyDescent="0.3">
      <c r="A61">
        <v>39</v>
      </c>
      <c r="B61" s="72"/>
      <c r="C61" s="73"/>
      <c r="D61" s="28"/>
      <c r="E61" s="34"/>
      <c r="F61" s="29"/>
      <c r="G61" s="14">
        <v>0</v>
      </c>
      <c r="H61" s="14">
        <v>0</v>
      </c>
      <c r="I61" s="13">
        <f t="shared" si="4"/>
        <v>0</v>
      </c>
      <c r="J61" s="14"/>
      <c r="K61" s="13"/>
      <c r="L61" s="13">
        <f t="shared" si="5"/>
        <v>0</v>
      </c>
    </row>
    <row r="62" spans="1:12" x14ac:dyDescent="0.3">
      <c r="A62">
        <v>40</v>
      </c>
      <c r="B62" s="72"/>
      <c r="C62" s="73"/>
      <c r="D62" s="28"/>
      <c r="E62" s="34"/>
      <c r="F62" s="29"/>
      <c r="G62" s="14">
        <v>0</v>
      </c>
      <c r="H62" s="14">
        <v>0</v>
      </c>
      <c r="I62" s="13">
        <f t="shared" si="4"/>
        <v>0</v>
      </c>
      <c r="J62" s="14"/>
      <c r="K62" s="13"/>
      <c r="L62" s="13">
        <f t="shared" si="5"/>
        <v>0</v>
      </c>
    </row>
    <row r="63" spans="1:12" x14ac:dyDescent="0.3">
      <c r="A63">
        <v>41</v>
      </c>
      <c r="B63" s="72"/>
      <c r="C63" s="73"/>
      <c r="D63" s="28"/>
      <c r="E63" s="34"/>
      <c r="F63" s="29"/>
      <c r="G63" s="14">
        <v>0</v>
      </c>
      <c r="H63" s="14">
        <v>0</v>
      </c>
      <c r="I63" s="13">
        <f t="shared" si="4"/>
        <v>0</v>
      </c>
      <c r="J63" s="14"/>
      <c r="K63" s="13"/>
      <c r="L63" s="13">
        <f t="shared" si="5"/>
        <v>0</v>
      </c>
    </row>
    <row r="64" spans="1:12" x14ac:dyDescent="0.3">
      <c r="A64">
        <v>42</v>
      </c>
      <c r="B64" s="72"/>
      <c r="C64" s="73"/>
      <c r="D64" s="28"/>
      <c r="E64" s="34"/>
      <c r="F64" s="29"/>
      <c r="G64" s="14">
        <v>0</v>
      </c>
      <c r="H64" s="14">
        <v>0</v>
      </c>
      <c r="I64" s="13">
        <f t="shared" si="4"/>
        <v>0</v>
      </c>
      <c r="J64" s="14"/>
      <c r="K64" s="13"/>
      <c r="L64" s="13">
        <f t="shared" si="5"/>
        <v>0</v>
      </c>
    </row>
    <row r="65" spans="1:12" x14ac:dyDescent="0.3">
      <c r="A65">
        <v>43</v>
      </c>
      <c r="B65" s="72"/>
      <c r="C65" s="73"/>
      <c r="D65" s="28"/>
      <c r="E65" s="34"/>
      <c r="F65" s="29"/>
      <c r="G65" s="14">
        <v>0</v>
      </c>
      <c r="H65" s="14">
        <v>0</v>
      </c>
      <c r="I65" s="13">
        <f t="shared" si="4"/>
        <v>0</v>
      </c>
      <c r="J65" s="14"/>
      <c r="K65" s="13"/>
      <c r="L65" s="13">
        <f t="shared" si="5"/>
        <v>0</v>
      </c>
    </row>
    <row r="66" spans="1:12" x14ac:dyDescent="0.3">
      <c r="A66">
        <v>44</v>
      </c>
      <c r="B66" s="72"/>
      <c r="C66" s="73"/>
      <c r="D66" s="28"/>
      <c r="E66" s="34"/>
      <c r="F66" s="29"/>
      <c r="G66" s="14">
        <v>0</v>
      </c>
      <c r="H66" s="14">
        <v>0</v>
      </c>
      <c r="I66" s="13">
        <f t="shared" si="4"/>
        <v>0</v>
      </c>
      <c r="J66" s="14"/>
      <c r="K66" s="13"/>
      <c r="L66" s="13">
        <f t="shared" si="5"/>
        <v>0</v>
      </c>
    </row>
    <row r="67" spans="1:12" x14ac:dyDescent="0.3">
      <c r="A67">
        <v>45</v>
      </c>
      <c r="B67" s="72"/>
      <c r="C67" s="73"/>
      <c r="D67" s="28"/>
      <c r="E67" s="34"/>
      <c r="F67" s="29"/>
      <c r="G67" s="14">
        <v>0</v>
      </c>
      <c r="H67" s="14">
        <v>0</v>
      </c>
      <c r="I67" s="13">
        <f t="shared" si="4"/>
        <v>0</v>
      </c>
      <c r="J67" s="14"/>
      <c r="K67" s="13"/>
      <c r="L67" s="13">
        <f t="shared" si="5"/>
        <v>0</v>
      </c>
    </row>
    <row r="68" spans="1:12" x14ac:dyDescent="0.3">
      <c r="A68">
        <v>46</v>
      </c>
      <c r="B68" s="72"/>
      <c r="C68" s="73"/>
      <c r="D68" s="28"/>
      <c r="E68" s="34"/>
      <c r="F68" s="29"/>
      <c r="G68" s="14">
        <v>0</v>
      </c>
      <c r="H68" s="14">
        <v>0</v>
      </c>
      <c r="I68" s="13">
        <f t="shared" si="4"/>
        <v>0</v>
      </c>
      <c r="J68" s="14"/>
      <c r="K68" s="13"/>
      <c r="L68" s="13">
        <f t="shared" si="5"/>
        <v>0</v>
      </c>
    </row>
    <row r="69" spans="1:12" x14ac:dyDescent="0.3">
      <c r="A69">
        <v>47</v>
      </c>
      <c r="B69" s="72"/>
      <c r="C69" s="73"/>
      <c r="D69" s="28"/>
      <c r="E69" s="34"/>
      <c r="F69" s="29"/>
      <c r="G69" s="14">
        <v>0</v>
      </c>
      <c r="H69" s="14">
        <v>0</v>
      </c>
      <c r="I69" s="13">
        <f t="shared" si="4"/>
        <v>0</v>
      </c>
      <c r="J69" s="14"/>
      <c r="K69" s="13"/>
      <c r="L69" s="13">
        <f t="shared" si="5"/>
        <v>0</v>
      </c>
    </row>
    <row r="70" spans="1:12" x14ac:dyDescent="0.3">
      <c r="A70">
        <v>48</v>
      </c>
      <c r="B70" s="72"/>
      <c r="C70" s="73"/>
      <c r="D70" s="28"/>
      <c r="E70" s="34"/>
      <c r="F70" s="29"/>
      <c r="G70" s="14">
        <v>0</v>
      </c>
      <c r="H70" s="14">
        <v>0</v>
      </c>
      <c r="I70" s="13">
        <f t="shared" si="4"/>
        <v>0</v>
      </c>
      <c r="J70" s="14"/>
      <c r="K70" s="13"/>
      <c r="L70" s="13">
        <f t="shared" si="5"/>
        <v>0</v>
      </c>
    </row>
    <row r="71" spans="1:12" x14ac:dyDescent="0.3">
      <c r="A71">
        <v>49</v>
      </c>
      <c r="B71" s="72"/>
      <c r="C71" s="73"/>
      <c r="D71" s="28"/>
      <c r="E71" s="34"/>
      <c r="F71" s="29"/>
      <c r="G71" s="14">
        <v>0</v>
      </c>
      <c r="H71" s="14">
        <v>0</v>
      </c>
      <c r="I71" s="13">
        <f t="shared" si="4"/>
        <v>0</v>
      </c>
      <c r="J71" s="14"/>
      <c r="K71" s="13"/>
      <c r="L71" s="13">
        <f t="shared" si="5"/>
        <v>0</v>
      </c>
    </row>
    <row r="72" spans="1:12" x14ac:dyDescent="0.3">
      <c r="A72">
        <v>50</v>
      </c>
      <c r="B72" s="72"/>
      <c r="C72" s="73"/>
      <c r="D72" s="28"/>
      <c r="E72" s="34"/>
      <c r="F72" s="29"/>
      <c r="G72" s="14">
        <v>0</v>
      </c>
      <c r="H72" s="14">
        <v>0</v>
      </c>
      <c r="I72" s="13">
        <f t="shared" si="4"/>
        <v>0</v>
      </c>
      <c r="J72" s="14"/>
      <c r="K72" s="13"/>
      <c r="L72" s="13">
        <f t="shared" si="5"/>
        <v>0</v>
      </c>
    </row>
    <row r="73" spans="1:12" x14ac:dyDescent="0.3">
      <c r="A73">
        <v>51</v>
      </c>
      <c r="B73" s="72"/>
      <c r="C73" s="73"/>
      <c r="D73" s="28"/>
      <c r="E73" s="34"/>
      <c r="F73" s="29"/>
      <c r="G73" s="14">
        <v>0</v>
      </c>
      <c r="H73" s="14">
        <v>0</v>
      </c>
      <c r="I73" s="13">
        <f t="shared" si="4"/>
        <v>0</v>
      </c>
      <c r="J73" s="14"/>
      <c r="K73" s="13"/>
      <c r="L73" s="13">
        <f t="shared" si="5"/>
        <v>0</v>
      </c>
    </row>
    <row r="74" spans="1:12" x14ac:dyDescent="0.3">
      <c r="A74">
        <v>52</v>
      </c>
      <c r="B74" s="72"/>
      <c r="C74" s="73"/>
      <c r="D74" s="28"/>
      <c r="E74" s="34"/>
      <c r="F74" s="29"/>
      <c r="G74" s="14">
        <v>0</v>
      </c>
      <c r="H74" s="14">
        <v>0</v>
      </c>
      <c r="I74" s="13">
        <f t="shared" si="4"/>
        <v>0</v>
      </c>
      <c r="J74" s="14"/>
      <c r="K74" s="13"/>
      <c r="L74" s="13">
        <f t="shared" si="5"/>
        <v>0</v>
      </c>
    </row>
    <row r="75" spans="1:12" x14ac:dyDescent="0.3">
      <c r="A75">
        <v>53</v>
      </c>
      <c r="B75" s="72"/>
      <c r="C75" s="73"/>
      <c r="D75" s="28"/>
      <c r="E75" s="34"/>
      <c r="F75" s="29"/>
      <c r="G75" s="14">
        <v>0</v>
      </c>
      <c r="H75" s="14">
        <v>0</v>
      </c>
      <c r="I75" s="13">
        <f t="shared" si="4"/>
        <v>0</v>
      </c>
      <c r="J75" s="14"/>
      <c r="K75" s="13"/>
      <c r="L75" s="13">
        <f t="shared" si="5"/>
        <v>0</v>
      </c>
    </row>
    <row r="76" spans="1:12" x14ac:dyDescent="0.3">
      <c r="A76">
        <v>54</v>
      </c>
      <c r="B76" s="72"/>
      <c r="C76" s="73"/>
      <c r="D76" s="28"/>
      <c r="E76" s="34"/>
      <c r="F76" s="29"/>
      <c r="G76" s="14">
        <v>0</v>
      </c>
      <c r="H76" s="14">
        <v>0</v>
      </c>
      <c r="I76" s="13">
        <f t="shared" si="4"/>
        <v>0</v>
      </c>
      <c r="J76" s="14"/>
      <c r="K76" s="13"/>
      <c r="L76" s="13">
        <f t="shared" si="5"/>
        <v>0</v>
      </c>
    </row>
    <row r="77" spans="1:12" x14ac:dyDescent="0.3">
      <c r="A77">
        <v>55</v>
      </c>
      <c r="B77" s="72"/>
      <c r="C77" s="73"/>
      <c r="D77" s="28"/>
      <c r="E77" s="34"/>
      <c r="F77" s="29"/>
      <c r="G77" s="14">
        <v>0</v>
      </c>
      <c r="H77" s="14">
        <v>0</v>
      </c>
      <c r="I77" s="13">
        <f t="shared" si="4"/>
        <v>0</v>
      </c>
      <c r="J77" s="14"/>
      <c r="K77" s="13"/>
      <c r="L77" s="13">
        <f t="shared" si="5"/>
        <v>0</v>
      </c>
    </row>
    <row r="78" spans="1:12" x14ac:dyDescent="0.3">
      <c r="A78">
        <v>56</v>
      </c>
      <c r="B78" s="72"/>
      <c r="C78" s="73"/>
      <c r="D78" s="28"/>
      <c r="E78" s="34"/>
      <c r="F78" s="29"/>
      <c r="G78" s="14">
        <v>0</v>
      </c>
      <c r="H78" s="14">
        <v>0</v>
      </c>
      <c r="I78" s="13">
        <f t="shared" si="4"/>
        <v>0</v>
      </c>
      <c r="J78" s="14"/>
      <c r="K78" s="13"/>
      <c r="L78" s="13">
        <f t="shared" si="5"/>
        <v>0</v>
      </c>
    </row>
    <row r="79" spans="1:12" x14ac:dyDescent="0.3">
      <c r="A79">
        <v>57</v>
      </c>
      <c r="B79" s="72"/>
      <c r="C79" s="73"/>
      <c r="D79" s="28"/>
      <c r="E79" s="34"/>
      <c r="F79" s="29"/>
      <c r="G79" s="14">
        <v>0</v>
      </c>
      <c r="H79" s="14">
        <v>0</v>
      </c>
      <c r="I79" s="13">
        <f t="shared" si="4"/>
        <v>0</v>
      </c>
      <c r="J79" s="14"/>
      <c r="K79" s="13"/>
      <c r="L79" s="13">
        <f t="shared" si="5"/>
        <v>0</v>
      </c>
    </row>
    <row r="80" spans="1:12" x14ac:dyDescent="0.3">
      <c r="A80">
        <v>58</v>
      </c>
      <c r="B80" s="72"/>
      <c r="C80" s="73"/>
      <c r="D80" s="28"/>
      <c r="E80" s="34"/>
      <c r="F80" s="29"/>
      <c r="G80" s="14">
        <v>0</v>
      </c>
      <c r="H80" s="14">
        <v>0</v>
      </c>
      <c r="I80" s="13">
        <f t="shared" si="4"/>
        <v>0</v>
      </c>
      <c r="J80" s="14"/>
      <c r="K80" s="13"/>
      <c r="L80" s="13">
        <f t="shared" si="5"/>
        <v>0</v>
      </c>
    </row>
    <row r="81" spans="1:12" x14ac:dyDescent="0.3">
      <c r="A81">
        <v>59</v>
      </c>
      <c r="B81" s="72"/>
      <c r="C81" s="73"/>
      <c r="D81" s="28"/>
      <c r="E81" s="34"/>
      <c r="F81" s="29"/>
      <c r="G81" s="14">
        <v>0</v>
      </c>
      <c r="H81" s="14">
        <v>0</v>
      </c>
      <c r="I81" s="13">
        <f t="shared" si="4"/>
        <v>0</v>
      </c>
      <c r="J81" s="14"/>
      <c r="K81" s="13"/>
      <c r="L81" s="13">
        <f t="shared" si="5"/>
        <v>0</v>
      </c>
    </row>
    <row r="82" spans="1:12" x14ac:dyDescent="0.3">
      <c r="A82">
        <v>60</v>
      </c>
      <c r="B82" s="72"/>
      <c r="C82" s="73"/>
      <c r="D82" s="28"/>
      <c r="E82" s="34"/>
      <c r="F82" s="29"/>
      <c r="G82" s="14">
        <v>0</v>
      </c>
      <c r="H82" s="14">
        <v>0</v>
      </c>
      <c r="I82" s="13">
        <f t="shared" si="4"/>
        <v>0</v>
      </c>
      <c r="J82" s="14"/>
      <c r="K82" s="13"/>
      <c r="L82" s="13">
        <f t="shared" si="5"/>
        <v>0</v>
      </c>
    </row>
    <row r="83" spans="1:12" x14ac:dyDescent="0.3">
      <c r="B83" s="79"/>
      <c r="C83" s="80"/>
      <c r="D83" s="4"/>
      <c r="E83" s="4"/>
      <c r="F83" s="12" t="s">
        <v>78</v>
      </c>
      <c r="G83" s="20">
        <f>SUM(G53:G82)+G47</f>
        <v>1268365.72</v>
      </c>
      <c r="H83" s="20">
        <f t="shared" ref="H83:L83" si="6">SUM(H53:H82)+H47</f>
        <v>0</v>
      </c>
      <c r="I83" s="20">
        <f t="shared" si="6"/>
        <v>1268365.72</v>
      </c>
      <c r="J83" s="20">
        <f t="shared" si="6"/>
        <v>534239.18999999994</v>
      </c>
      <c r="K83" s="20">
        <f t="shared" si="6"/>
        <v>0</v>
      </c>
      <c r="L83" s="20">
        <f t="shared" si="6"/>
        <v>734126.52999999991</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IF(B11=0,"",B11)</f>
        <v>Jeff Klaasen</v>
      </c>
      <c r="F92" s="25"/>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26"/>
      <c r="E99" t="s">
        <v>90</v>
      </c>
      <c r="F99" s="25"/>
      <c r="G99" s="7"/>
    </row>
    <row r="100" spans="3:12" x14ac:dyDescent="0.3">
      <c r="G100" t="s">
        <v>91</v>
      </c>
    </row>
    <row r="101" spans="3:12" x14ac:dyDescent="0.3">
      <c r="C101" s="6" t="s">
        <v>92</v>
      </c>
      <c r="D101" s="26"/>
      <c r="E101" t="s">
        <v>93</v>
      </c>
    </row>
    <row r="103" spans="3:12" x14ac:dyDescent="0.3">
      <c r="C103" s="6" t="s">
        <v>94</v>
      </c>
      <c r="D103" s="26"/>
      <c r="L103" s="6" t="str">
        <f>IF(D4=0,"",D4)</f>
        <v/>
      </c>
    </row>
    <row r="112" spans="3:12" x14ac:dyDescent="0.3">
      <c r="D112" s="16"/>
    </row>
    <row r="113" spans="4:4" x14ac:dyDescent="0.3">
      <c r="D113" s="16"/>
    </row>
    <row r="114" spans="4:4" x14ac:dyDescent="0.3">
      <c r="D114" s="16"/>
    </row>
    <row r="115" spans="4:4" x14ac:dyDescent="0.3">
      <c r="D115" s="16"/>
    </row>
    <row r="116" spans="4:4" x14ac:dyDescent="0.3">
      <c r="D116" s="16"/>
    </row>
    <row r="117" spans="4:4" x14ac:dyDescent="0.3">
      <c r="D117" s="16"/>
    </row>
    <row r="118" spans="4:4" x14ac:dyDescent="0.3">
      <c r="D118" s="16"/>
    </row>
    <row r="119" spans="4:4" x14ac:dyDescent="0.3">
      <c r="D119" s="16"/>
    </row>
  </sheetData>
  <sheetProtection password="CB6C" sheet="1" objects="1" scenarios="1" selectLockedCells="1"/>
  <mergeCells count="70">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7:C37"/>
    <mergeCell ref="B38:C38"/>
    <mergeCell ref="B39:C39"/>
    <mergeCell ref="B40:C40"/>
    <mergeCell ref="B41:C41"/>
    <mergeCell ref="B42:C42"/>
    <mergeCell ref="B43:C43"/>
    <mergeCell ref="B44:C44"/>
    <mergeCell ref="B45:C45"/>
    <mergeCell ref="B23:C23"/>
    <mergeCell ref="B24:C24"/>
    <mergeCell ref="B25:C25"/>
    <mergeCell ref="B26:C26"/>
    <mergeCell ref="B27:C27"/>
    <mergeCell ref="B22:C22"/>
    <mergeCell ref="B7:C7"/>
    <mergeCell ref="B17:C17"/>
    <mergeCell ref="B18:C18"/>
    <mergeCell ref="B19:C19"/>
    <mergeCell ref="B33:C33"/>
    <mergeCell ref="B31:C31"/>
    <mergeCell ref="B32:C32"/>
    <mergeCell ref="A1:L1"/>
    <mergeCell ref="C3:D3"/>
    <mergeCell ref="G3:I3"/>
    <mergeCell ref="G4:I4"/>
    <mergeCell ref="C5:D5"/>
    <mergeCell ref="G5:I5"/>
    <mergeCell ref="G7:L14"/>
    <mergeCell ref="B11:C11"/>
    <mergeCell ref="B12:C12"/>
    <mergeCell ref="B14:F14"/>
    <mergeCell ref="B16:C16"/>
    <mergeCell ref="B28:C28"/>
    <mergeCell ref="B29:C29"/>
  </mergeCells>
  <pageMargins left="0.45" right="0.45" top="0.25" bottom="0.25" header="0.3" footer="0.3"/>
  <pageSetup paperSize="5" scale="72" fitToHeight="2" orientation="landscape" r:id="rId1"/>
  <headerFooter>
    <oddFooter>&amp;R&amp;A &amp;"-,Bold"Page&amp;P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1"/>
  <sheetViews>
    <sheetView topLeftCell="A14" workbookViewId="0">
      <selection activeCell="K18" sqref="K18"/>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220</v>
      </c>
      <c r="B1" s="67"/>
      <c r="C1" s="67"/>
      <c r="D1" s="67"/>
      <c r="E1" s="67"/>
      <c r="F1" s="67"/>
      <c r="G1" s="67"/>
      <c r="H1" s="67"/>
      <c r="I1" s="67"/>
      <c r="J1" s="67"/>
      <c r="K1" s="67"/>
      <c r="L1" s="67"/>
    </row>
    <row r="2" spans="1:12" x14ac:dyDescent="0.3">
      <c r="K2" s="21" t="s">
        <v>1</v>
      </c>
      <c r="L2" s="25">
        <f>+Master!L2</f>
        <v>0</v>
      </c>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Master!H17</f>
        <v>0</v>
      </c>
      <c r="I17" s="13">
        <f>+G17+H17</f>
        <v>623097.94999999995</v>
      </c>
      <c r="J17" s="13">
        <f>Master!J17</f>
        <v>138897.29</v>
      </c>
      <c r="K17" s="14">
        <v>9246</v>
      </c>
      <c r="L17" s="13">
        <f>+I17-J17-K17</f>
        <v>474954.65999999992</v>
      </c>
    </row>
    <row r="18" spans="1:12" x14ac:dyDescent="0.3">
      <c r="A18">
        <v>2</v>
      </c>
      <c r="B18" s="81" t="str">
        <f>IF(Master!$B18=0,"",Master!$B18)</f>
        <v/>
      </c>
      <c r="C18" s="82"/>
      <c r="D18" s="39" t="str">
        <f>IF(Master!$D18=0,"",Master!$D18)</f>
        <v/>
      </c>
      <c r="E18" s="11" t="str">
        <f>IF(Master!$E18=0,"",Master!$E18)</f>
        <v/>
      </c>
      <c r="F18" s="11" t="str">
        <f>IF(Master!$F18=0,"",Master!$F18)</f>
        <v/>
      </c>
      <c r="G18" s="13">
        <f>Master!G18</f>
        <v>0</v>
      </c>
      <c r="H18" s="14">
        <f>Master!H18</f>
        <v>0</v>
      </c>
      <c r="I18" s="13">
        <f t="shared" ref="I18:I46" si="0">+G18+H18</f>
        <v>0</v>
      </c>
      <c r="J18" s="13">
        <f>Master!J18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Master!H19</f>
        <v>0</v>
      </c>
      <c r="I19" s="13">
        <f t="shared" si="0"/>
        <v>62376</v>
      </c>
      <c r="J19" s="13">
        <f>Master!J19</f>
        <v>62376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Master!H20</f>
        <v>0</v>
      </c>
      <c r="I20" s="13">
        <f t="shared" si="0"/>
        <v>15930</v>
      </c>
      <c r="J20" s="13">
        <f>Master!J20</f>
        <v>0</v>
      </c>
      <c r="K20" s="14"/>
      <c r="L20" s="13">
        <f t="shared" si="1"/>
        <v>15930</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Master!H21</f>
        <v>0</v>
      </c>
      <c r="I21" s="13">
        <f t="shared" si="0"/>
        <v>21742.22</v>
      </c>
      <c r="J21" s="13">
        <f>Master!J21</f>
        <v>0</v>
      </c>
      <c r="K21" s="14"/>
      <c r="L21" s="13">
        <f t="shared" si="1"/>
        <v>21742.22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Master!H22</f>
        <v>0</v>
      </c>
      <c r="I22" s="13">
        <f t="shared" si="0"/>
        <v>0</v>
      </c>
      <c r="J22" s="13">
        <f>Master!J22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Master!H23</f>
        <v>0</v>
      </c>
      <c r="I23" s="13">
        <f t="shared" si="0"/>
        <v>424.4</v>
      </c>
      <c r="J23" s="13">
        <f>Master!J23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Master!H24</f>
        <v>0</v>
      </c>
      <c r="I24" s="13">
        <f t="shared" si="0"/>
        <v>47734</v>
      </c>
      <c r="J24" s="13">
        <f>Master!J24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Master!H25</f>
        <v>0</v>
      </c>
      <c r="I25" s="13">
        <f t="shared" si="0"/>
        <v>8214.5999999999985</v>
      </c>
      <c r="J25" s="13">
        <f>Master!J25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Master!H26</f>
        <v>0</v>
      </c>
      <c r="I26" s="13">
        <f t="shared" si="0"/>
        <v>0</v>
      </c>
      <c r="J26" s="13">
        <f>Master!J26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Master!H27</f>
        <v>0</v>
      </c>
      <c r="I27" s="13">
        <f t="shared" si="0"/>
        <v>0</v>
      </c>
      <c r="J27" s="13">
        <f>Master!J27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Master!H28</f>
        <v>0</v>
      </c>
      <c r="I28" s="13">
        <f t="shared" si="0"/>
        <v>0</v>
      </c>
      <c r="J28" s="13">
        <f>Master!J28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Master!H29</f>
        <v>0</v>
      </c>
      <c r="I29" s="13">
        <f t="shared" si="0"/>
        <v>800</v>
      </c>
      <c r="J29" s="13">
        <f>Master!J29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Master!H30</f>
        <v>0</v>
      </c>
      <c r="I30" s="13">
        <f t="shared" si="0"/>
        <v>2635</v>
      </c>
      <c r="J30" s="13">
        <f>Master!J30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Master!H31</f>
        <v>0</v>
      </c>
      <c r="I31" s="13">
        <f t="shared" si="0"/>
        <v>13445</v>
      </c>
      <c r="J31" s="13">
        <f>Master!J31</f>
        <v>13445</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Master!H32</f>
        <v>0</v>
      </c>
      <c r="I32" s="13">
        <f t="shared" si="0"/>
        <v>0</v>
      </c>
      <c r="J32" s="13">
        <f>Master!J32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Master!H33</f>
        <v>0</v>
      </c>
      <c r="I33" s="13">
        <f t="shared" si="0"/>
        <v>18795</v>
      </c>
      <c r="J33" s="13">
        <f>Master!J33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Master!H34</f>
        <v>0</v>
      </c>
      <c r="I34" s="13">
        <f t="shared" si="0"/>
        <v>18585.770000000004</v>
      </c>
      <c r="J34" s="13">
        <f>Master!J34</f>
        <v>0</v>
      </c>
      <c r="K34" s="14"/>
      <c r="L34" s="13">
        <f t="shared" si="1"/>
        <v>18585.770000000004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Master!H35</f>
        <v>0</v>
      </c>
      <c r="I35" s="13">
        <f t="shared" si="0"/>
        <v>16802</v>
      </c>
      <c r="J35" s="13">
        <f>Master!J35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Master!H36</f>
        <v>0</v>
      </c>
      <c r="I36" s="13">
        <f t="shared" si="0"/>
        <v>68518</v>
      </c>
      <c r="J36" s="13">
        <f>Master!J36</f>
        <v>0</v>
      </c>
      <c r="K36" s="14">
        <v>68518</v>
      </c>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Master!H37</f>
        <v>0</v>
      </c>
      <c r="I37" s="13">
        <f t="shared" si="0"/>
        <v>0</v>
      </c>
      <c r="J37" s="13">
        <f>Master!J37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Master!H38</f>
        <v>0</v>
      </c>
      <c r="I38" s="13">
        <f t="shared" si="0"/>
        <v>5167.5</v>
      </c>
      <c r="J38" s="13">
        <f>Master!J38</f>
        <v>0</v>
      </c>
      <c r="K38" s="14"/>
      <c r="L38" s="13">
        <f t="shared" si="1"/>
        <v>5167.5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Master!H39</f>
        <v>0</v>
      </c>
      <c r="I39" s="13">
        <f t="shared" si="0"/>
        <v>14832.5</v>
      </c>
      <c r="J39" s="13">
        <f>Master!J39</f>
        <v>14832.5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Master!H40</f>
        <v>0</v>
      </c>
      <c r="I40" s="13">
        <f t="shared" si="0"/>
        <v>0</v>
      </c>
      <c r="J40" s="13">
        <f>Master!J40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Master!H41</f>
        <v>0</v>
      </c>
      <c r="I41" s="13">
        <f t="shared" si="0"/>
        <v>0</v>
      </c>
      <c r="J41" s="13">
        <f>Master!J41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Master!H42</f>
        <v>0</v>
      </c>
      <c r="I42" s="13">
        <f t="shared" si="0"/>
        <v>0</v>
      </c>
      <c r="J42" s="13">
        <f>Master!J42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Master!H43</f>
        <v>0</v>
      </c>
      <c r="I43" s="13">
        <f t="shared" si="0"/>
        <v>0</v>
      </c>
      <c r="J43" s="13">
        <f>Master!J43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Master!H44</f>
        <v>0</v>
      </c>
      <c r="I44" s="13">
        <f t="shared" si="0"/>
        <v>48532.35</v>
      </c>
      <c r="J44" s="13">
        <f>Master!J44</f>
        <v>0</v>
      </c>
      <c r="K44" s="14"/>
      <c r="L44" s="13">
        <f t="shared" si="1"/>
        <v>48532.35</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Master!H45</f>
        <v>0</v>
      </c>
      <c r="I45" s="13">
        <f t="shared" si="0"/>
        <v>46433.43</v>
      </c>
      <c r="J45" s="13">
        <f>Master!J45</f>
        <v>0</v>
      </c>
      <c r="K45" s="14"/>
      <c r="L45" s="13">
        <f t="shared" si="1"/>
        <v>46433.43</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Master!H46</f>
        <v>0</v>
      </c>
      <c r="I46" s="13">
        <f t="shared" si="0"/>
        <v>234300</v>
      </c>
      <c r="J46" s="13">
        <f>Master!J46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534239.18999999994</v>
      </c>
      <c r="K47" s="20">
        <f t="shared" si="2"/>
        <v>77764</v>
      </c>
      <c r="L47" s="20">
        <f t="shared" si="2"/>
        <v>656362.52999999991</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Master!H53</f>
        <v>0</v>
      </c>
      <c r="I53" s="13">
        <f t="shared" ref="I53:I82" si="3">+G53+H53</f>
        <v>0</v>
      </c>
      <c r="J53" s="13">
        <f>Master!J53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Master!H54</f>
        <v>0</v>
      </c>
      <c r="I54" s="13">
        <f t="shared" si="3"/>
        <v>0</v>
      </c>
      <c r="J54" s="13">
        <f>Master!J54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Master!H55</f>
        <v>0</v>
      </c>
      <c r="I55" s="13">
        <f t="shared" si="3"/>
        <v>0</v>
      </c>
      <c r="J55" s="13">
        <f>Master!J55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Master!H56</f>
        <v>0</v>
      </c>
      <c r="I56" s="13">
        <f t="shared" si="3"/>
        <v>0</v>
      </c>
      <c r="J56" s="13">
        <f>Master!J56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Master!H57</f>
        <v>0</v>
      </c>
      <c r="I57" s="13">
        <f t="shared" si="3"/>
        <v>0</v>
      </c>
      <c r="J57" s="13">
        <f>Master!J57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Master!H58</f>
        <v>0</v>
      </c>
      <c r="I58" s="13">
        <f t="shared" si="3"/>
        <v>0</v>
      </c>
      <c r="J58" s="13">
        <f>Master!J58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Master!H59</f>
        <v>0</v>
      </c>
      <c r="I59" s="13">
        <f t="shared" si="3"/>
        <v>0</v>
      </c>
      <c r="J59" s="13">
        <f>Master!J59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Master!H60</f>
        <v>0</v>
      </c>
      <c r="I60" s="13">
        <f t="shared" si="3"/>
        <v>0</v>
      </c>
      <c r="J60" s="13">
        <f>Master!J60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Master!H61</f>
        <v>0</v>
      </c>
      <c r="I61" s="13">
        <f t="shared" si="3"/>
        <v>0</v>
      </c>
      <c r="J61" s="13">
        <f>Master!J61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Master!H62</f>
        <v>0</v>
      </c>
      <c r="I62" s="13">
        <f t="shared" si="3"/>
        <v>0</v>
      </c>
      <c r="J62" s="13">
        <f>Master!J62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Master!H63</f>
        <v>0</v>
      </c>
      <c r="I63" s="13">
        <f t="shared" si="3"/>
        <v>0</v>
      </c>
      <c r="J63" s="13">
        <f>Master!J63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Master!H64</f>
        <v>0</v>
      </c>
      <c r="I64" s="13">
        <f t="shared" si="3"/>
        <v>0</v>
      </c>
      <c r="J64" s="13">
        <f>Master!J64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Master!H65</f>
        <v>0</v>
      </c>
      <c r="I65" s="13">
        <f t="shared" si="3"/>
        <v>0</v>
      </c>
      <c r="J65" s="13">
        <f>Master!J65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Master!H66</f>
        <v>0</v>
      </c>
      <c r="I66" s="13">
        <f t="shared" si="3"/>
        <v>0</v>
      </c>
      <c r="J66" s="13">
        <f>Master!J66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Master!H67</f>
        <v>0</v>
      </c>
      <c r="I67" s="13">
        <f t="shared" si="3"/>
        <v>0</v>
      </c>
      <c r="J67" s="13">
        <f>Master!J67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Master!H68</f>
        <v>0</v>
      </c>
      <c r="I68" s="13">
        <f t="shared" si="3"/>
        <v>0</v>
      </c>
      <c r="J68" s="13">
        <f>Master!J68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Master!H69</f>
        <v>0</v>
      </c>
      <c r="I69" s="13">
        <f t="shared" si="3"/>
        <v>0</v>
      </c>
      <c r="J69" s="13">
        <f>Master!J69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Master!H70</f>
        <v>0</v>
      </c>
      <c r="I70" s="13">
        <f t="shared" si="3"/>
        <v>0</v>
      </c>
      <c r="J70" s="13">
        <f>Master!J70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Master!H71</f>
        <v>0</v>
      </c>
      <c r="I71" s="13">
        <f t="shared" si="3"/>
        <v>0</v>
      </c>
      <c r="J71" s="13">
        <f>Master!J71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Master!H72</f>
        <v>0</v>
      </c>
      <c r="I72" s="13">
        <f t="shared" si="3"/>
        <v>0</v>
      </c>
      <c r="J72" s="13">
        <f>Master!J72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Master!H73</f>
        <v>0</v>
      </c>
      <c r="I73" s="13">
        <f t="shared" si="3"/>
        <v>0</v>
      </c>
      <c r="J73" s="13">
        <f>Master!J73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Master!H74</f>
        <v>0</v>
      </c>
      <c r="I74" s="13">
        <f t="shared" si="3"/>
        <v>0</v>
      </c>
      <c r="J74" s="13">
        <f>Master!J74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Master!H75</f>
        <v>0</v>
      </c>
      <c r="I75" s="13">
        <f t="shared" si="3"/>
        <v>0</v>
      </c>
      <c r="J75" s="13">
        <f>Master!J75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Master!H76</f>
        <v>0</v>
      </c>
      <c r="I76" s="13">
        <f t="shared" si="3"/>
        <v>0</v>
      </c>
      <c r="J76" s="13">
        <f>Master!J76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Master!H77</f>
        <v>0</v>
      </c>
      <c r="I77" s="13">
        <f t="shared" si="3"/>
        <v>0</v>
      </c>
      <c r="J77" s="13">
        <f>Master!J77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Master!H78</f>
        <v>0</v>
      </c>
      <c r="I78" s="13">
        <f t="shared" si="3"/>
        <v>0</v>
      </c>
      <c r="J78" s="13">
        <f>Master!J78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Master!H79</f>
        <v>0</v>
      </c>
      <c r="I79" s="13">
        <f t="shared" si="3"/>
        <v>0</v>
      </c>
      <c r="J79" s="13">
        <f>Master!J79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Master!H80</f>
        <v>0</v>
      </c>
      <c r="I80" s="13">
        <f t="shared" si="3"/>
        <v>0</v>
      </c>
      <c r="J80" s="13">
        <f>Master!J80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Master!H81</f>
        <v>0</v>
      </c>
      <c r="I81" s="13">
        <f t="shared" si="3"/>
        <v>0</v>
      </c>
      <c r="J81" s="13">
        <f>Master!J81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Master!H82</f>
        <v>0</v>
      </c>
      <c r="I82" s="13">
        <f t="shared" si="3"/>
        <v>0</v>
      </c>
      <c r="J82" s="13">
        <f>Master!J82</f>
        <v>0</v>
      </c>
      <c r="K82" s="14"/>
      <c r="L82" s="13">
        <f t="shared" si="4"/>
        <v>0</v>
      </c>
    </row>
    <row r="83" spans="1:12" x14ac:dyDescent="0.3">
      <c r="B83" s="79"/>
      <c r="C83" s="80"/>
      <c r="D83" s="4"/>
      <c r="E83" s="4"/>
      <c r="F83" s="12" t="s">
        <v>78</v>
      </c>
      <c r="G83" s="20">
        <f t="shared" ref="G83:L83" si="5">SUM(G53:G82)+G47</f>
        <v>1268365.72</v>
      </c>
      <c r="H83" s="20">
        <f t="shared" si="5"/>
        <v>0</v>
      </c>
      <c r="I83" s="20">
        <f t="shared" si="5"/>
        <v>1268365.72</v>
      </c>
      <c r="J83" s="20">
        <f t="shared" si="5"/>
        <v>534239.18999999994</v>
      </c>
      <c r="K83" s="20">
        <f t="shared" si="5"/>
        <v>77764</v>
      </c>
      <c r="L83" s="20">
        <f t="shared" si="5"/>
        <v>656362.52999999991</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customSheetViews>
    <customSheetView guid="{6A167086-9E29-47E7-8144-8AFE691468D8}" fitToPage="1">
      <selection activeCell="D7" sqref="D7"/>
      <pageMargins left="0" right="0" top="0" bottom="0" header="0" footer="0"/>
      <pageSetup paperSize="5" scale="72" fitToHeight="2" orientation="landscape" r:id="rId1"/>
    </customSheetView>
  </customSheetViews>
  <mergeCells count="76">
    <mergeCell ref="A1:L1"/>
    <mergeCell ref="B17:C17"/>
    <mergeCell ref="B18:C18"/>
    <mergeCell ref="B19:C19"/>
    <mergeCell ref="B20:C20"/>
    <mergeCell ref="B12:C12"/>
    <mergeCell ref="B11:C11"/>
    <mergeCell ref="B7:C7"/>
    <mergeCell ref="C3:D3"/>
    <mergeCell ref="G3:I3"/>
    <mergeCell ref="G4:I4"/>
    <mergeCell ref="C5:D5"/>
    <mergeCell ref="G5:I5"/>
    <mergeCell ref="G7:L14"/>
    <mergeCell ref="B14:F14"/>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81:C81"/>
    <mergeCell ref="B82:C82"/>
    <mergeCell ref="B83:C83"/>
    <mergeCell ref="B16:C16"/>
    <mergeCell ref="B48:L49"/>
    <mergeCell ref="B76:C76"/>
    <mergeCell ref="B77:C77"/>
    <mergeCell ref="B78:C78"/>
    <mergeCell ref="B79:C79"/>
    <mergeCell ref="B80:C80"/>
    <mergeCell ref="B71:C71"/>
    <mergeCell ref="B72:C72"/>
    <mergeCell ref="B73:C73"/>
    <mergeCell ref="B74:C74"/>
    <mergeCell ref="B75:C75"/>
  </mergeCells>
  <pageMargins left="0.45" right="0.45" top="0.25" bottom="0.25" header="0.3" footer="0.3"/>
  <pageSetup paperSize="5" scale="72" fitToHeight="2" orientation="landscape" r:id="rId2"/>
  <headerFooter>
    <oddFooter>&amp;R&amp;A   &amp;"-,Bold"Page&amp;P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11"/>
  <sheetViews>
    <sheetView topLeftCell="A26" workbookViewId="0">
      <selection activeCell="J46" sqref="J46"/>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221</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v>1228.5</v>
      </c>
      <c r="I17" s="13">
        <f>+G17+H17</f>
        <v>624326.44999999995</v>
      </c>
      <c r="J17" s="14">
        <f>'Draw 1'!J17+'Draw 1'!K17</f>
        <v>148143.29</v>
      </c>
      <c r="K17" s="14">
        <v>276327.65999999997</v>
      </c>
      <c r="L17" s="13">
        <f>+I17-J17-K17</f>
        <v>199855.49999999994</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1'!H18</f>
        <v>0</v>
      </c>
      <c r="I18" s="13">
        <f t="shared" ref="I18:I46" si="0">+G18+H18</f>
        <v>0</v>
      </c>
      <c r="J18" s="14">
        <f>'Draw 1'!J18+'Draw 1'!K18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v>8555</v>
      </c>
      <c r="I19" s="13">
        <f t="shared" si="0"/>
        <v>70931</v>
      </c>
      <c r="J19" s="14">
        <f>'Draw 1'!J19+'Draw 1'!K19</f>
        <v>62376</v>
      </c>
      <c r="K19" s="14">
        <f>1220+4980+2355</f>
        <v>8555</v>
      </c>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1'!H20</f>
        <v>0</v>
      </c>
      <c r="I20" s="13">
        <f t="shared" si="0"/>
        <v>15930</v>
      </c>
      <c r="J20" s="14">
        <f>'Draw 1'!J20+'Draw 1'!K20</f>
        <v>0</v>
      </c>
      <c r="K20" s="14">
        <v>1158.5</v>
      </c>
      <c r="L20" s="13">
        <f t="shared" si="1"/>
        <v>14771.5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1'!H21-8555</f>
        <v>-8555</v>
      </c>
      <c r="I21" s="13">
        <f t="shared" si="0"/>
        <v>13187.220000000001</v>
      </c>
      <c r="J21" s="14">
        <f>'Draw 1'!J21+'Draw 1'!K21</f>
        <v>0</v>
      </c>
      <c r="K21" s="14"/>
      <c r="L21" s="13">
        <f t="shared" si="1"/>
        <v>13187.220000000001</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1'!H22</f>
        <v>0</v>
      </c>
      <c r="I22" s="13">
        <f t="shared" si="0"/>
        <v>0</v>
      </c>
      <c r="J22" s="14">
        <f>'Draw 1'!J22+'Draw 1'!K22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1'!H23</f>
        <v>0</v>
      </c>
      <c r="I23" s="13">
        <f t="shared" si="0"/>
        <v>424.4</v>
      </c>
      <c r="J23" s="14">
        <f>'Draw 1'!J23+'Draw 1'!K23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1'!H24</f>
        <v>0</v>
      </c>
      <c r="I24" s="13">
        <f t="shared" si="0"/>
        <v>47734</v>
      </c>
      <c r="J24" s="14">
        <f>'Draw 1'!J24+'Draw 1'!K24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1'!H25</f>
        <v>0</v>
      </c>
      <c r="I25" s="13">
        <f t="shared" si="0"/>
        <v>8214.5999999999985</v>
      </c>
      <c r="J25" s="14">
        <f>'Draw 1'!J25+'Draw 1'!K25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1'!H26</f>
        <v>0</v>
      </c>
      <c r="I26" s="13">
        <f t="shared" si="0"/>
        <v>0</v>
      </c>
      <c r="J26" s="14">
        <f>'Draw 1'!J26+'Draw 1'!K26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1'!H27</f>
        <v>0</v>
      </c>
      <c r="I27" s="13">
        <f t="shared" si="0"/>
        <v>0</v>
      </c>
      <c r="J27" s="14">
        <f>'Draw 1'!J27+'Draw 1'!K27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1'!H28</f>
        <v>0</v>
      </c>
      <c r="I28" s="13">
        <f t="shared" si="0"/>
        <v>0</v>
      </c>
      <c r="J28" s="14">
        <f>'Draw 1'!J28+'Draw 1'!K28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1'!H29</f>
        <v>0</v>
      </c>
      <c r="I29" s="13">
        <f t="shared" si="0"/>
        <v>800</v>
      </c>
      <c r="J29" s="14">
        <f>'Draw 1'!J29+'Draw 1'!K29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1'!H30</f>
        <v>0</v>
      </c>
      <c r="I30" s="13">
        <f t="shared" si="0"/>
        <v>2635</v>
      </c>
      <c r="J30" s="14">
        <f>'Draw 1'!J30+'Draw 1'!K30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1'!H31</f>
        <v>0</v>
      </c>
      <c r="I31" s="13">
        <f t="shared" si="0"/>
        <v>13445</v>
      </c>
      <c r="J31" s="14">
        <f>'Draw 1'!J31+'Draw 1'!K31</f>
        <v>13445</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1'!H32</f>
        <v>0</v>
      </c>
      <c r="I32" s="13">
        <f t="shared" si="0"/>
        <v>0</v>
      </c>
      <c r="J32" s="14">
        <f>'Draw 1'!J32+'Draw 1'!K32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1'!H33</f>
        <v>0</v>
      </c>
      <c r="I33" s="13">
        <f t="shared" si="0"/>
        <v>18795</v>
      </c>
      <c r="J33" s="14">
        <f>'Draw 1'!J33+'Draw 1'!K33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1'!H34</f>
        <v>0</v>
      </c>
      <c r="I34" s="13">
        <f t="shared" si="0"/>
        <v>18585.770000000004</v>
      </c>
      <c r="J34" s="14">
        <f>'Draw 1'!J34+'Draw 1'!K34</f>
        <v>0</v>
      </c>
      <c r="K34" s="14"/>
      <c r="L34" s="13">
        <f t="shared" si="1"/>
        <v>18585.770000000004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1'!H35</f>
        <v>0</v>
      </c>
      <c r="I35" s="13">
        <f t="shared" si="0"/>
        <v>16802</v>
      </c>
      <c r="J35" s="14">
        <f>'Draw 1'!J35+'Draw 1'!K35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1'!H36</f>
        <v>0</v>
      </c>
      <c r="I36" s="13">
        <f t="shared" si="0"/>
        <v>68518</v>
      </c>
      <c r="J36" s="14">
        <f>'Draw 1'!J36+'Draw 1'!K36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1'!H37</f>
        <v>0</v>
      </c>
      <c r="I37" s="13">
        <f t="shared" si="0"/>
        <v>0</v>
      </c>
      <c r="J37" s="14">
        <f>'Draw 1'!J37+'Draw 1'!K37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1'!H38</f>
        <v>0</v>
      </c>
      <c r="I38" s="13">
        <f t="shared" si="0"/>
        <v>5167.5</v>
      </c>
      <c r="J38" s="14">
        <f>'Draw 1'!J38+'Draw 1'!K38</f>
        <v>0</v>
      </c>
      <c r="K38" s="14"/>
      <c r="L38" s="13">
        <f t="shared" si="1"/>
        <v>5167.5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1'!H39</f>
        <v>0</v>
      </c>
      <c r="I39" s="13">
        <f t="shared" si="0"/>
        <v>14832.5</v>
      </c>
      <c r="J39" s="14">
        <f>'Draw 1'!J39+'Draw 1'!K39</f>
        <v>14832.5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1'!H40</f>
        <v>0</v>
      </c>
      <c r="I40" s="13">
        <f t="shared" si="0"/>
        <v>0</v>
      </c>
      <c r="J40" s="14">
        <f>'Draw 1'!J40+'Draw 1'!K40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1'!H41</f>
        <v>0</v>
      </c>
      <c r="I41" s="13">
        <f t="shared" si="0"/>
        <v>0</v>
      </c>
      <c r="J41" s="14">
        <f>'Draw 1'!J41+'Draw 1'!K41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1'!H42</f>
        <v>0</v>
      </c>
      <c r="I42" s="13">
        <f t="shared" si="0"/>
        <v>0</v>
      </c>
      <c r="J42" s="14">
        <f>'Draw 1'!J42+'Draw 1'!K42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1'!H43</f>
        <v>0</v>
      </c>
      <c r="I43" s="13">
        <f t="shared" si="0"/>
        <v>0</v>
      </c>
      <c r="J43" s="14">
        <f>'Draw 1'!J43+'Draw 1'!K43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v>-1228.5</v>
      </c>
      <c r="I44" s="13">
        <f t="shared" si="0"/>
        <v>47303.85</v>
      </c>
      <c r="J44" s="14">
        <f>'Draw 1'!J44+'Draw 1'!K44</f>
        <v>0</v>
      </c>
      <c r="K44" s="14"/>
      <c r="L44" s="13">
        <f t="shared" si="1"/>
        <v>47303.85</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1'!H45</f>
        <v>0</v>
      </c>
      <c r="I45" s="13">
        <f t="shared" si="0"/>
        <v>46433.43</v>
      </c>
      <c r="J45" s="14">
        <f>'Draw 1'!J45+'Draw 1'!K45</f>
        <v>0</v>
      </c>
      <c r="K45" s="14"/>
      <c r="L45" s="13">
        <f t="shared" si="1"/>
        <v>46433.43</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1'!H46</f>
        <v>0</v>
      </c>
      <c r="I46" s="13">
        <f t="shared" si="0"/>
        <v>234300</v>
      </c>
      <c r="J46" s="14">
        <f>'Draw 1'!J46+'Draw 1'!K46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612003.18999999994</v>
      </c>
      <c r="K47" s="20">
        <f t="shared" si="2"/>
        <v>286041.15999999997</v>
      </c>
      <c r="L47" s="20">
        <f t="shared" si="2"/>
        <v>370321.36999999994</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1'!H53</f>
        <v>0</v>
      </c>
      <c r="I53" s="13">
        <f t="shared" ref="I53:I82" si="3">+G53+H53</f>
        <v>0</v>
      </c>
      <c r="J53" s="14">
        <f>'Draw 1'!J53+'Draw 1'!K53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1'!H54</f>
        <v>0</v>
      </c>
      <c r="I54" s="13">
        <f t="shared" si="3"/>
        <v>0</v>
      </c>
      <c r="J54" s="14">
        <f>'Draw 1'!J54+'Draw 1'!K54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1'!H55</f>
        <v>0</v>
      </c>
      <c r="I55" s="13">
        <f t="shared" si="3"/>
        <v>0</v>
      </c>
      <c r="J55" s="14">
        <f>'Draw 1'!J55+'Draw 1'!K55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1'!H56</f>
        <v>0</v>
      </c>
      <c r="I56" s="13">
        <f t="shared" si="3"/>
        <v>0</v>
      </c>
      <c r="J56" s="14">
        <f>'Draw 1'!J56+'Draw 1'!K56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1'!H57</f>
        <v>0</v>
      </c>
      <c r="I57" s="13">
        <f t="shared" si="3"/>
        <v>0</v>
      </c>
      <c r="J57" s="14">
        <f>'Draw 1'!J57+'Draw 1'!K57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1'!H58</f>
        <v>0</v>
      </c>
      <c r="I58" s="13">
        <f t="shared" si="3"/>
        <v>0</v>
      </c>
      <c r="J58" s="14">
        <f>'Draw 1'!J58+'Draw 1'!K58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1'!H59</f>
        <v>0</v>
      </c>
      <c r="I59" s="13">
        <f t="shared" si="3"/>
        <v>0</v>
      </c>
      <c r="J59" s="14">
        <f>'Draw 1'!J59+'Draw 1'!K59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1'!H60</f>
        <v>0</v>
      </c>
      <c r="I60" s="13">
        <f t="shared" si="3"/>
        <v>0</v>
      </c>
      <c r="J60" s="14">
        <f>'Draw 1'!J60+'Draw 1'!K60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1'!H61</f>
        <v>0</v>
      </c>
      <c r="I61" s="13">
        <f t="shared" si="3"/>
        <v>0</v>
      </c>
      <c r="J61" s="14">
        <f>'Draw 1'!J61+'Draw 1'!K61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1'!H62</f>
        <v>0</v>
      </c>
      <c r="I62" s="13">
        <f t="shared" si="3"/>
        <v>0</v>
      </c>
      <c r="J62" s="14">
        <f>'Draw 1'!J62+'Draw 1'!K62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1'!H63</f>
        <v>0</v>
      </c>
      <c r="I63" s="13">
        <f t="shared" si="3"/>
        <v>0</v>
      </c>
      <c r="J63" s="14">
        <f>'Draw 1'!J63+'Draw 1'!K63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1'!H64</f>
        <v>0</v>
      </c>
      <c r="I64" s="13">
        <f t="shared" si="3"/>
        <v>0</v>
      </c>
      <c r="J64" s="14">
        <f>'Draw 1'!J64+'Draw 1'!K64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1'!H65</f>
        <v>0</v>
      </c>
      <c r="I65" s="13">
        <f t="shared" si="3"/>
        <v>0</v>
      </c>
      <c r="J65" s="14">
        <f>'Draw 1'!J65+'Draw 1'!K65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1'!H66</f>
        <v>0</v>
      </c>
      <c r="I66" s="13">
        <f t="shared" si="3"/>
        <v>0</v>
      </c>
      <c r="J66" s="14">
        <f>'Draw 1'!J66+'Draw 1'!K66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1'!H67</f>
        <v>0</v>
      </c>
      <c r="I67" s="13">
        <f t="shared" si="3"/>
        <v>0</v>
      </c>
      <c r="J67" s="14">
        <f>'Draw 1'!J67+'Draw 1'!K67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1'!H68</f>
        <v>0</v>
      </c>
      <c r="I68" s="13">
        <f t="shared" si="3"/>
        <v>0</v>
      </c>
      <c r="J68" s="14">
        <f>'Draw 1'!J68+'Draw 1'!K68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1'!H69</f>
        <v>0</v>
      </c>
      <c r="I69" s="13">
        <f t="shared" si="3"/>
        <v>0</v>
      </c>
      <c r="J69" s="14">
        <f>'Draw 1'!J69+'Draw 1'!K69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1'!H70</f>
        <v>0</v>
      </c>
      <c r="I70" s="13">
        <f t="shared" si="3"/>
        <v>0</v>
      </c>
      <c r="J70" s="14">
        <f>'Draw 1'!J70+'Draw 1'!K70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1'!H71</f>
        <v>0</v>
      </c>
      <c r="I71" s="13">
        <f t="shared" si="3"/>
        <v>0</v>
      </c>
      <c r="J71" s="14">
        <f>'Draw 1'!J71+'Draw 1'!K71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1'!H72</f>
        <v>0</v>
      </c>
      <c r="I72" s="13">
        <f t="shared" si="3"/>
        <v>0</v>
      </c>
      <c r="J72" s="14">
        <f>'Draw 1'!J72+'Draw 1'!K72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1'!H73</f>
        <v>0</v>
      </c>
      <c r="I73" s="13">
        <f t="shared" si="3"/>
        <v>0</v>
      </c>
      <c r="J73" s="14">
        <f>'Draw 1'!J73+'Draw 1'!K73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1'!H74</f>
        <v>0</v>
      </c>
      <c r="I74" s="13">
        <f t="shared" si="3"/>
        <v>0</v>
      </c>
      <c r="J74" s="14">
        <f>'Draw 1'!J74+'Draw 1'!K74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1'!H75</f>
        <v>0</v>
      </c>
      <c r="I75" s="13">
        <f t="shared" si="3"/>
        <v>0</v>
      </c>
      <c r="J75" s="14">
        <f>'Draw 1'!J75+'Draw 1'!K75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1'!H76</f>
        <v>0</v>
      </c>
      <c r="I76" s="13">
        <f t="shared" si="3"/>
        <v>0</v>
      </c>
      <c r="J76" s="14">
        <f>'Draw 1'!J76+'Draw 1'!K76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1'!H77</f>
        <v>0</v>
      </c>
      <c r="I77" s="13">
        <f t="shared" si="3"/>
        <v>0</v>
      </c>
      <c r="J77" s="14">
        <f>'Draw 1'!J77+'Draw 1'!K77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1'!H78</f>
        <v>0</v>
      </c>
      <c r="I78" s="13">
        <f t="shared" si="3"/>
        <v>0</v>
      </c>
      <c r="J78" s="14">
        <f>'Draw 1'!J78+'Draw 1'!K78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1'!H79</f>
        <v>0</v>
      </c>
      <c r="I79" s="13">
        <f t="shared" si="3"/>
        <v>0</v>
      </c>
      <c r="J79" s="14">
        <f>'Draw 1'!J79+'Draw 1'!K79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1'!H80</f>
        <v>0</v>
      </c>
      <c r="I80" s="13">
        <f t="shared" si="3"/>
        <v>0</v>
      </c>
      <c r="J80" s="14">
        <f>'Draw 1'!J80+'Draw 1'!K80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1'!H81</f>
        <v>0</v>
      </c>
      <c r="I81" s="13">
        <f t="shared" si="3"/>
        <v>0</v>
      </c>
      <c r="J81" s="14">
        <f>'Draw 1'!J81+'Draw 1'!K81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1'!H82</f>
        <v>0</v>
      </c>
      <c r="I82" s="13">
        <f t="shared" si="3"/>
        <v>0</v>
      </c>
      <c r="J82" s="14">
        <f>'Draw 1'!J82+'Draw 1'!K82</f>
        <v>0</v>
      </c>
      <c r="K82" s="14"/>
      <c r="L82" s="13">
        <f t="shared" si="4"/>
        <v>0</v>
      </c>
    </row>
    <row r="83" spans="1:12" x14ac:dyDescent="0.3">
      <c r="B83" s="79"/>
      <c r="C83" s="80"/>
      <c r="D83" s="4"/>
      <c r="E83" s="4"/>
      <c r="F83" s="12" t="s">
        <v>78</v>
      </c>
      <c r="G83" s="20">
        <f>SUM(G53:G82)+G47</f>
        <v>1268365.72</v>
      </c>
      <c r="H83" s="20">
        <f t="shared" ref="H83:L83" si="5">SUM(H53:H82)+H47</f>
        <v>0</v>
      </c>
      <c r="I83" s="20">
        <f t="shared" si="5"/>
        <v>1268365.72</v>
      </c>
      <c r="J83" s="20">
        <f t="shared" si="5"/>
        <v>612003.18999999994</v>
      </c>
      <c r="K83" s="20">
        <f t="shared" si="5"/>
        <v>286041.15999999997</v>
      </c>
      <c r="L83" s="20">
        <f t="shared" si="5"/>
        <v>370321.36999999994</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11"/>
  <sheetViews>
    <sheetView topLeftCell="A25" workbookViewId="0">
      <selection activeCell="H39" sqref="H39"/>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222</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2'!H17+17306.75</f>
        <v>18535.25</v>
      </c>
      <c r="I17" s="13">
        <f>+G17+H17</f>
        <v>641633.19999999995</v>
      </c>
      <c r="J17" s="13">
        <f>'Draw 2'!J17+'Draw 2'!K17</f>
        <v>424470.94999999995</v>
      </c>
      <c r="K17" s="14">
        <v>127875.25</v>
      </c>
      <c r="L17" s="13">
        <f>+I17-J17-K17</f>
        <v>89287</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2'!H18</f>
        <v>0</v>
      </c>
      <c r="I18" s="13">
        <f t="shared" ref="I18:I46" si="0">+G18+H18</f>
        <v>0</v>
      </c>
      <c r="J18" s="13">
        <f>'Draw 2'!J18+'Draw 2'!K18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2'!H19+3240</f>
        <v>11795</v>
      </c>
      <c r="I19" s="13">
        <f t="shared" si="0"/>
        <v>74171</v>
      </c>
      <c r="J19" s="13">
        <f>'Draw 2'!J19+'Draw 2'!K19</f>
        <v>70931</v>
      </c>
      <c r="K19" s="14">
        <v>3240</v>
      </c>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2'!H20</f>
        <v>0</v>
      </c>
      <c r="I20" s="13">
        <f t="shared" si="0"/>
        <v>15930</v>
      </c>
      <c r="J20" s="13">
        <f>'Draw 2'!J20+'Draw 2'!K20</f>
        <v>1158.5</v>
      </c>
      <c r="K20" s="14">
        <v>924</v>
      </c>
      <c r="L20" s="13">
        <f t="shared" si="1"/>
        <v>13847.5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2'!H21-3240</f>
        <v>-11795</v>
      </c>
      <c r="I21" s="13">
        <f t="shared" si="0"/>
        <v>9947.2200000000012</v>
      </c>
      <c r="J21" s="13">
        <f>'Draw 2'!J21+'Draw 2'!K21</f>
        <v>0</v>
      </c>
      <c r="K21" s="14"/>
      <c r="L21" s="13">
        <f t="shared" si="1"/>
        <v>9947.2200000000012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2'!H22</f>
        <v>0</v>
      </c>
      <c r="I22" s="13">
        <f t="shared" si="0"/>
        <v>0</v>
      </c>
      <c r="J22" s="13">
        <f>'Draw 2'!J22+'Draw 2'!K22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2'!H23</f>
        <v>0</v>
      </c>
      <c r="I23" s="13">
        <f t="shared" si="0"/>
        <v>424.4</v>
      </c>
      <c r="J23" s="13">
        <f>'Draw 2'!J23+'Draw 2'!K23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2'!H24</f>
        <v>0</v>
      </c>
      <c r="I24" s="13">
        <f t="shared" si="0"/>
        <v>47734</v>
      </c>
      <c r="J24" s="13">
        <f>'Draw 2'!J24+'Draw 2'!K24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2'!H25</f>
        <v>0</v>
      </c>
      <c r="I25" s="13">
        <f t="shared" si="0"/>
        <v>8214.5999999999985</v>
      </c>
      <c r="J25" s="13">
        <f>'Draw 2'!J25+'Draw 2'!K25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2'!H26</f>
        <v>0</v>
      </c>
      <c r="I26" s="13">
        <f t="shared" si="0"/>
        <v>0</v>
      </c>
      <c r="J26" s="13">
        <f>'Draw 2'!J26+'Draw 2'!K26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2'!H27</f>
        <v>0</v>
      </c>
      <c r="I27" s="13">
        <f t="shared" si="0"/>
        <v>0</v>
      </c>
      <c r="J27" s="13">
        <f>'Draw 2'!J27+'Draw 2'!K27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2'!H28</f>
        <v>0</v>
      </c>
      <c r="I28" s="13">
        <f t="shared" si="0"/>
        <v>0</v>
      </c>
      <c r="J28" s="13">
        <f>'Draw 2'!J28+'Draw 2'!K28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2'!H29</f>
        <v>0</v>
      </c>
      <c r="I29" s="13">
        <f t="shared" si="0"/>
        <v>800</v>
      </c>
      <c r="J29" s="13">
        <f>'Draw 2'!J29+'Draw 2'!K29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2'!H30</f>
        <v>0</v>
      </c>
      <c r="I30" s="13">
        <f t="shared" si="0"/>
        <v>2635</v>
      </c>
      <c r="J30" s="13">
        <f>'Draw 2'!J30+'Draw 2'!K30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v>675</v>
      </c>
      <c r="I31" s="13">
        <f t="shared" si="0"/>
        <v>14120</v>
      </c>
      <c r="J31" s="13">
        <f>'Draw 2'!J31+'Draw 2'!K31</f>
        <v>13445</v>
      </c>
      <c r="K31" s="14">
        <v>675</v>
      </c>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2'!H32</f>
        <v>0</v>
      </c>
      <c r="I32" s="13">
        <f t="shared" si="0"/>
        <v>0</v>
      </c>
      <c r="J32" s="13">
        <f>'Draw 2'!J32+'Draw 2'!K32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2'!H33</f>
        <v>0</v>
      </c>
      <c r="I33" s="13">
        <f t="shared" si="0"/>
        <v>18795</v>
      </c>
      <c r="J33" s="13">
        <f>'Draw 2'!J33+'Draw 2'!K33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v>-675</v>
      </c>
      <c r="I34" s="13">
        <f t="shared" si="0"/>
        <v>17910.770000000004</v>
      </c>
      <c r="J34" s="13">
        <f>'Draw 2'!J34+'Draw 2'!K34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2'!H35</f>
        <v>0</v>
      </c>
      <c r="I35" s="13">
        <f t="shared" si="0"/>
        <v>16802</v>
      </c>
      <c r="J35" s="13">
        <f>'Draw 2'!J35+'Draw 2'!K35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2'!H36</f>
        <v>0</v>
      </c>
      <c r="I36" s="13">
        <f t="shared" si="0"/>
        <v>68518</v>
      </c>
      <c r="J36" s="13">
        <f>'Draw 2'!J36+'Draw 2'!K36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2'!H37</f>
        <v>0</v>
      </c>
      <c r="I37" s="13">
        <f t="shared" si="0"/>
        <v>0</v>
      </c>
      <c r="J37" s="13">
        <f>'Draw 2'!J37+'Draw 2'!K37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v>-747.5</v>
      </c>
      <c r="I38" s="13">
        <f t="shared" si="0"/>
        <v>4420</v>
      </c>
      <c r="J38" s="13">
        <f>'Draw 2'!J38+'Draw 2'!K38</f>
        <v>0</v>
      </c>
      <c r="K38" s="14"/>
      <c r="L38" s="13">
        <f t="shared" si="1"/>
        <v>4420</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v>747.5</v>
      </c>
      <c r="I39" s="13">
        <f t="shared" si="0"/>
        <v>15580</v>
      </c>
      <c r="J39" s="13">
        <f>'Draw 2'!J39+'Draw 2'!K39</f>
        <v>14832.5</v>
      </c>
      <c r="K39" s="14">
        <v>747.5</v>
      </c>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2'!H40</f>
        <v>0</v>
      </c>
      <c r="I40" s="13">
        <f t="shared" si="0"/>
        <v>0</v>
      </c>
      <c r="J40" s="13">
        <f>'Draw 2'!J40+'Draw 2'!K40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2'!H41</f>
        <v>0</v>
      </c>
      <c r="I41" s="13">
        <f t="shared" si="0"/>
        <v>0</v>
      </c>
      <c r="J41" s="13">
        <f>'Draw 2'!J41+'Draw 2'!K41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2'!H42</f>
        <v>0</v>
      </c>
      <c r="I42" s="13">
        <f t="shared" si="0"/>
        <v>0</v>
      </c>
      <c r="J42" s="13">
        <f>'Draw 2'!J42+'Draw 2'!K42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2'!H43</f>
        <v>0</v>
      </c>
      <c r="I43" s="13">
        <f t="shared" si="0"/>
        <v>0</v>
      </c>
      <c r="J43" s="13">
        <f>'Draw 2'!J43+'Draw 2'!K43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2'!H44-17306.75</f>
        <v>-18535.25</v>
      </c>
      <c r="I44" s="13">
        <f t="shared" si="0"/>
        <v>29997.1</v>
      </c>
      <c r="J44" s="13">
        <f>'Draw 2'!J44+'Draw 2'!K44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2'!H45</f>
        <v>0</v>
      </c>
      <c r="I45" s="13">
        <f t="shared" si="0"/>
        <v>46433.43</v>
      </c>
      <c r="J45" s="13">
        <f>'Draw 2'!J45+'Draw 2'!K45</f>
        <v>0</v>
      </c>
      <c r="K45" s="14">
        <f>408.63+1527.27</f>
        <v>1935.9</v>
      </c>
      <c r="L45" s="13">
        <f t="shared" si="1"/>
        <v>44497.53</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2'!H46</f>
        <v>0</v>
      </c>
      <c r="I46" s="13">
        <f t="shared" si="0"/>
        <v>234300</v>
      </c>
      <c r="J46" s="13">
        <f>'Draw 2'!J46+'Draw 2'!K46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898044.35</v>
      </c>
      <c r="K47" s="20">
        <f t="shared" si="2"/>
        <v>135397.65</v>
      </c>
      <c r="L47" s="20">
        <f t="shared" si="2"/>
        <v>234923.72000000003</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2'!H53</f>
        <v>0</v>
      </c>
      <c r="I53" s="13">
        <f t="shared" ref="I53:I82" si="3">+G53+H53</f>
        <v>0</v>
      </c>
      <c r="J53" s="13">
        <f>'Draw 2'!J53+'Draw 2'!K53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2'!H54</f>
        <v>0</v>
      </c>
      <c r="I54" s="13">
        <f t="shared" si="3"/>
        <v>0</v>
      </c>
      <c r="J54" s="13">
        <f>'Draw 2'!J54+'Draw 2'!K54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2'!H55</f>
        <v>0</v>
      </c>
      <c r="I55" s="13">
        <f t="shared" si="3"/>
        <v>0</v>
      </c>
      <c r="J55" s="13">
        <f>'Draw 2'!J55+'Draw 2'!K55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2'!H56</f>
        <v>0</v>
      </c>
      <c r="I56" s="13">
        <f t="shared" si="3"/>
        <v>0</v>
      </c>
      <c r="J56" s="13">
        <f>'Draw 2'!J56+'Draw 2'!K56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2'!H57</f>
        <v>0</v>
      </c>
      <c r="I57" s="13">
        <f t="shared" si="3"/>
        <v>0</v>
      </c>
      <c r="J57" s="13">
        <f>'Draw 2'!J57+'Draw 2'!K57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2'!H58</f>
        <v>0</v>
      </c>
      <c r="I58" s="13">
        <f t="shared" si="3"/>
        <v>0</v>
      </c>
      <c r="J58" s="13">
        <f>'Draw 2'!J58+'Draw 2'!K58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2'!H59</f>
        <v>0</v>
      </c>
      <c r="I59" s="13">
        <f t="shared" si="3"/>
        <v>0</v>
      </c>
      <c r="J59" s="13">
        <f>'Draw 2'!J59+'Draw 2'!K59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2'!H60</f>
        <v>0</v>
      </c>
      <c r="I60" s="13">
        <f t="shared" si="3"/>
        <v>0</v>
      </c>
      <c r="J60" s="13">
        <f>'Draw 2'!J60+'Draw 2'!K60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2'!H61</f>
        <v>0</v>
      </c>
      <c r="I61" s="13">
        <f t="shared" si="3"/>
        <v>0</v>
      </c>
      <c r="J61" s="13">
        <f>'Draw 2'!J61+'Draw 2'!K61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2'!H62</f>
        <v>0</v>
      </c>
      <c r="I62" s="13">
        <f t="shared" si="3"/>
        <v>0</v>
      </c>
      <c r="J62" s="13">
        <f>'Draw 2'!J62+'Draw 2'!K62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2'!H63</f>
        <v>0</v>
      </c>
      <c r="I63" s="13">
        <f t="shared" si="3"/>
        <v>0</v>
      </c>
      <c r="J63" s="13">
        <f>'Draw 2'!J63+'Draw 2'!K63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2'!H64</f>
        <v>0</v>
      </c>
      <c r="I64" s="13">
        <f t="shared" si="3"/>
        <v>0</v>
      </c>
      <c r="J64" s="13">
        <f>'Draw 2'!J64+'Draw 2'!K64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2'!H65</f>
        <v>0</v>
      </c>
      <c r="I65" s="13">
        <f t="shared" si="3"/>
        <v>0</v>
      </c>
      <c r="J65" s="13">
        <f>'Draw 2'!J65+'Draw 2'!K65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2'!H66</f>
        <v>0</v>
      </c>
      <c r="I66" s="13">
        <f t="shared" si="3"/>
        <v>0</v>
      </c>
      <c r="J66" s="13">
        <f>'Draw 2'!J66+'Draw 2'!K66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2'!H67</f>
        <v>0</v>
      </c>
      <c r="I67" s="13">
        <f t="shared" si="3"/>
        <v>0</v>
      </c>
      <c r="J67" s="13">
        <f>'Draw 2'!J67+'Draw 2'!K67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2'!H68</f>
        <v>0</v>
      </c>
      <c r="I68" s="13">
        <f t="shared" si="3"/>
        <v>0</v>
      </c>
      <c r="J68" s="13">
        <f>'Draw 2'!J68+'Draw 2'!K68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2'!H69</f>
        <v>0</v>
      </c>
      <c r="I69" s="13">
        <f t="shared" si="3"/>
        <v>0</v>
      </c>
      <c r="J69" s="13">
        <f>'Draw 2'!J69+'Draw 2'!K69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2'!H70</f>
        <v>0</v>
      </c>
      <c r="I70" s="13">
        <f t="shared" si="3"/>
        <v>0</v>
      </c>
      <c r="J70" s="13">
        <f>'Draw 2'!J70+'Draw 2'!K70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2'!H71</f>
        <v>0</v>
      </c>
      <c r="I71" s="13">
        <f t="shared" si="3"/>
        <v>0</v>
      </c>
      <c r="J71" s="13">
        <f>'Draw 2'!J71+'Draw 2'!K71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2'!H72</f>
        <v>0</v>
      </c>
      <c r="I72" s="13">
        <f t="shared" si="3"/>
        <v>0</v>
      </c>
      <c r="J72" s="13">
        <f>'Draw 2'!J72+'Draw 2'!K72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2'!H73</f>
        <v>0</v>
      </c>
      <c r="I73" s="13">
        <f t="shared" si="3"/>
        <v>0</v>
      </c>
      <c r="J73" s="13">
        <f>'Draw 2'!J73+'Draw 2'!K73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2'!H74</f>
        <v>0</v>
      </c>
      <c r="I74" s="13">
        <f t="shared" si="3"/>
        <v>0</v>
      </c>
      <c r="J74" s="13">
        <f>'Draw 2'!J74+'Draw 2'!K74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2'!H75</f>
        <v>0</v>
      </c>
      <c r="I75" s="13">
        <f t="shared" si="3"/>
        <v>0</v>
      </c>
      <c r="J75" s="13">
        <f>'Draw 2'!J75+'Draw 2'!K75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2'!H76</f>
        <v>0</v>
      </c>
      <c r="I76" s="13">
        <f t="shared" si="3"/>
        <v>0</v>
      </c>
      <c r="J76" s="13">
        <f>'Draw 2'!J76+'Draw 2'!K76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2'!H77</f>
        <v>0</v>
      </c>
      <c r="I77" s="13">
        <f t="shared" si="3"/>
        <v>0</v>
      </c>
      <c r="J77" s="13">
        <f>'Draw 2'!J77+'Draw 2'!K77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2'!H78</f>
        <v>0</v>
      </c>
      <c r="I78" s="13">
        <f t="shared" si="3"/>
        <v>0</v>
      </c>
      <c r="J78" s="13">
        <f>'Draw 2'!J78+'Draw 2'!K78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2'!H79</f>
        <v>0</v>
      </c>
      <c r="I79" s="13">
        <f t="shared" si="3"/>
        <v>0</v>
      </c>
      <c r="J79" s="13">
        <f>'Draw 2'!J79+'Draw 2'!K79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2'!H80</f>
        <v>0</v>
      </c>
      <c r="I80" s="13">
        <f t="shared" si="3"/>
        <v>0</v>
      </c>
      <c r="J80" s="13">
        <f>'Draw 2'!J80+'Draw 2'!K80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2'!H81</f>
        <v>0</v>
      </c>
      <c r="I81" s="13">
        <f t="shared" si="3"/>
        <v>0</v>
      </c>
      <c r="J81" s="13">
        <f>'Draw 2'!J81+'Draw 2'!K81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2'!H82</f>
        <v>0</v>
      </c>
      <c r="I82" s="13">
        <f t="shared" si="3"/>
        <v>0</v>
      </c>
      <c r="J82" s="13">
        <f>'Draw 2'!J82+'Draw 2'!K82</f>
        <v>0</v>
      </c>
      <c r="K82" s="14"/>
      <c r="L82" s="13">
        <f t="shared" si="4"/>
        <v>0</v>
      </c>
    </row>
    <row r="83" spans="1:12" x14ac:dyDescent="0.3">
      <c r="B83" s="79"/>
      <c r="C83" s="80"/>
      <c r="D83" s="4"/>
      <c r="E83" s="4"/>
      <c r="F83" s="12" t="s">
        <v>78</v>
      </c>
      <c r="G83" s="20">
        <f>SUM(G53:G82)+G47</f>
        <v>1268365.72</v>
      </c>
      <c r="H83" s="20">
        <f t="shared" ref="H83:L83" si="5">SUM(H53:H82)+H47</f>
        <v>0</v>
      </c>
      <c r="I83" s="20">
        <f t="shared" si="5"/>
        <v>1268365.72</v>
      </c>
      <c r="J83" s="20">
        <f t="shared" si="5"/>
        <v>898044.35</v>
      </c>
      <c r="K83" s="20">
        <f t="shared" si="5"/>
        <v>135397.65</v>
      </c>
      <c r="L83" s="20">
        <f t="shared" si="5"/>
        <v>234923.72000000003</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scale="55" fitToHeight="2" orientation="landscape" r:id="rId1"/>
  <headerFooter>
    <oddFooter>&amp;R&amp;A   &amp;"-,Bold"Page&amp;P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11"/>
  <sheetViews>
    <sheetView tabSelected="1" topLeftCell="A16" workbookViewId="0">
      <selection activeCell="K39" sqref="K39"/>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223</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3'!H17</f>
        <v>18535.25</v>
      </c>
      <c r="I17" s="13">
        <f>+G17+H17</f>
        <v>641633.19999999995</v>
      </c>
      <c r="J17" s="13">
        <f>'Draw 3'!J17+'Draw 3'!K17</f>
        <v>552346.19999999995</v>
      </c>
      <c r="K17" s="14">
        <v>89287</v>
      </c>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3'!H18</f>
        <v>0</v>
      </c>
      <c r="I18" s="13">
        <f t="shared" ref="I18:I46" si="0">+G18+H18</f>
        <v>0</v>
      </c>
      <c r="J18" s="13">
        <f>'Draw 3'!J18+'Draw 3'!K18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3'!H19+3355</f>
        <v>15150</v>
      </c>
      <c r="I19" s="13">
        <f t="shared" si="0"/>
        <v>77526</v>
      </c>
      <c r="J19" s="13">
        <f>'Draw 3'!J19+'Draw 3'!K19</f>
        <v>74171</v>
      </c>
      <c r="K19" s="14">
        <v>3355</v>
      </c>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3'!H20</f>
        <v>0</v>
      </c>
      <c r="I20" s="13">
        <f t="shared" si="0"/>
        <v>15930</v>
      </c>
      <c r="J20" s="13">
        <f>'Draw 3'!J20+'Draw 3'!K20</f>
        <v>2082.5</v>
      </c>
      <c r="K20" s="14">
        <v>453</v>
      </c>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3'!H21-3355</f>
        <v>-15150</v>
      </c>
      <c r="I21" s="13">
        <f t="shared" si="0"/>
        <v>6592.2200000000012</v>
      </c>
      <c r="J21" s="13">
        <f>'Draw 3'!J21+'Draw 3'!K21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3'!H22</f>
        <v>0</v>
      </c>
      <c r="I22" s="13">
        <f t="shared" si="0"/>
        <v>0</v>
      </c>
      <c r="J22" s="13">
        <f>'Draw 3'!J22+'Draw 3'!K22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3'!H23</f>
        <v>0</v>
      </c>
      <c r="I23" s="13">
        <f t="shared" si="0"/>
        <v>424.4</v>
      </c>
      <c r="J23" s="13">
        <f>'Draw 3'!J23+'Draw 3'!K23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3'!H24</f>
        <v>0</v>
      </c>
      <c r="I24" s="13">
        <f t="shared" si="0"/>
        <v>47734</v>
      </c>
      <c r="J24" s="13">
        <f>'Draw 3'!J24+'Draw 3'!K24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3'!H25</f>
        <v>0</v>
      </c>
      <c r="I25" s="13">
        <f t="shared" si="0"/>
        <v>8214.5999999999985</v>
      </c>
      <c r="J25" s="13">
        <f>'Draw 3'!J25+'Draw 3'!K25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3'!H26</f>
        <v>0</v>
      </c>
      <c r="I26" s="13">
        <f t="shared" si="0"/>
        <v>0</v>
      </c>
      <c r="J26" s="13">
        <f>'Draw 3'!J26+'Draw 3'!K26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3'!H27</f>
        <v>0</v>
      </c>
      <c r="I27" s="13">
        <f t="shared" si="0"/>
        <v>0</v>
      </c>
      <c r="J27" s="13">
        <f>'Draw 3'!J27+'Draw 3'!K27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3'!H28</f>
        <v>0</v>
      </c>
      <c r="I28" s="13">
        <f t="shared" si="0"/>
        <v>0</v>
      </c>
      <c r="J28" s="13">
        <f>'Draw 3'!J28+'Draw 3'!K28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3'!H29</f>
        <v>0</v>
      </c>
      <c r="I29" s="13">
        <f t="shared" si="0"/>
        <v>800</v>
      </c>
      <c r="J29" s="13">
        <f>'Draw 3'!J29+'Draw 3'!K29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3'!H30</f>
        <v>0</v>
      </c>
      <c r="I30" s="13">
        <f t="shared" si="0"/>
        <v>2635</v>
      </c>
      <c r="J30" s="13">
        <f>'Draw 3'!J30+'Draw 3'!K30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3'!H31</f>
        <v>675</v>
      </c>
      <c r="I31" s="13">
        <f t="shared" si="0"/>
        <v>14120</v>
      </c>
      <c r="J31" s="13">
        <f>'Draw 3'!J31+'Draw 3'!K31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3'!H32</f>
        <v>0</v>
      </c>
      <c r="I32" s="13">
        <f t="shared" si="0"/>
        <v>0</v>
      </c>
      <c r="J32" s="13">
        <f>'Draw 3'!J32+'Draw 3'!K32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3'!H33</f>
        <v>0</v>
      </c>
      <c r="I33" s="13">
        <f t="shared" si="0"/>
        <v>18795</v>
      </c>
      <c r="J33" s="13">
        <f>'Draw 3'!J33+'Draw 3'!K33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3'!H34</f>
        <v>-675</v>
      </c>
      <c r="I34" s="13">
        <f t="shared" si="0"/>
        <v>17910.770000000004</v>
      </c>
      <c r="J34" s="13">
        <f>'Draw 3'!J34+'Draw 3'!K34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3'!H35</f>
        <v>0</v>
      </c>
      <c r="I35" s="13">
        <f t="shared" si="0"/>
        <v>16802</v>
      </c>
      <c r="J35" s="13">
        <f>'Draw 3'!J35+'Draw 3'!K35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3'!H36</f>
        <v>0</v>
      </c>
      <c r="I36" s="13">
        <f t="shared" si="0"/>
        <v>68518</v>
      </c>
      <c r="J36" s="13">
        <f>'Draw 3'!J36+'Draw 3'!K36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3'!H37</f>
        <v>0</v>
      </c>
      <c r="I37" s="13">
        <f t="shared" si="0"/>
        <v>0</v>
      </c>
      <c r="J37" s="13">
        <f>'Draw 3'!J37+'Draw 3'!K37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3'!H38-1425</f>
        <v>-2172.5</v>
      </c>
      <c r="I38" s="13">
        <f t="shared" si="0"/>
        <v>2995</v>
      </c>
      <c r="J38" s="13">
        <f>'Draw 3'!J38+'Draw 3'!K38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3'!H39+1425</f>
        <v>2172.5</v>
      </c>
      <c r="I39" s="13">
        <f t="shared" si="0"/>
        <v>17005</v>
      </c>
      <c r="J39" s="13">
        <f>'Draw 3'!J39+'Draw 3'!K39</f>
        <v>15580</v>
      </c>
      <c r="K39" s="14">
        <v>1425</v>
      </c>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3'!H40</f>
        <v>0</v>
      </c>
      <c r="I40" s="13">
        <f t="shared" si="0"/>
        <v>0</v>
      </c>
      <c r="J40" s="13">
        <f>'Draw 3'!J40+'Draw 3'!K40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3'!H41</f>
        <v>0</v>
      </c>
      <c r="I41" s="13">
        <f t="shared" si="0"/>
        <v>0</v>
      </c>
      <c r="J41" s="13">
        <f>'Draw 3'!J41+'Draw 3'!K41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3'!H42</f>
        <v>0</v>
      </c>
      <c r="I42" s="13">
        <f t="shared" si="0"/>
        <v>0</v>
      </c>
      <c r="J42" s="13">
        <f>'Draw 3'!J42+'Draw 3'!K42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3'!H43</f>
        <v>0</v>
      </c>
      <c r="I43" s="13">
        <f t="shared" si="0"/>
        <v>0</v>
      </c>
      <c r="J43" s="13">
        <f>'Draw 3'!J43+'Draw 3'!K43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3'!H44</f>
        <v>-18535.25</v>
      </c>
      <c r="I44" s="13">
        <f t="shared" si="0"/>
        <v>29997.1</v>
      </c>
      <c r="J44" s="13">
        <f>'Draw 3'!J44+'Draw 3'!K44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3'!H45</f>
        <v>0</v>
      </c>
      <c r="I45" s="13">
        <f t="shared" si="0"/>
        <v>46433.43</v>
      </c>
      <c r="J45" s="13">
        <f>'Draw 3'!J45+'Draw 3'!K45</f>
        <v>1935.9</v>
      </c>
      <c r="K45" s="14">
        <v>6625.94</v>
      </c>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3'!H46</f>
        <v>0</v>
      </c>
      <c r="I46" s="13">
        <f t="shared" si="0"/>
        <v>234300</v>
      </c>
      <c r="J46" s="13">
        <f>'Draw 3'!J46+'Draw 3'!K46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1033442</v>
      </c>
      <c r="K47" s="20">
        <f t="shared" si="2"/>
        <v>101145.94</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3'!H53</f>
        <v>0</v>
      </c>
      <c r="I53" s="13">
        <f t="shared" ref="I53:I82" si="3">+G53+H53</f>
        <v>0</v>
      </c>
      <c r="J53" s="13">
        <f>'Draw 3'!J53+'Draw 3'!K53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3'!H54</f>
        <v>0</v>
      </c>
      <c r="I54" s="13">
        <f t="shared" si="3"/>
        <v>0</v>
      </c>
      <c r="J54" s="13">
        <f>'Draw 3'!J54+'Draw 3'!K54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3'!H55</f>
        <v>0</v>
      </c>
      <c r="I55" s="13">
        <f t="shared" si="3"/>
        <v>0</v>
      </c>
      <c r="J55" s="13">
        <f>'Draw 3'!J55+'Draw 3'!K55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3'!H56</f>
        <v>0</v>
      </c>
      <c r="I56" s="13">
        <f t="shared" si="3"/>
        <v>0</v>
      </c>
      <c r="J56" s="13">
        <f>'Draw 3'!J56+'Draw 3'!K56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3'!H57</f>
        <v>0</v>
      </c>
      <c r="I57" s="13">
        <f t="shared" si="3"/>
        <v>0</v>
      </c>
      <c r="J57" s="13">
        <f>'Draw 3'!J57+'Draw 3'!K57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3'!H58</f>
        <v>0</v>
      </c>
      <c r="I58" s="13">
        <f t="shared" si="3"/>
        <v>0</v>
      </c>
      <c r="J58" s="13">
        <f>'Draw 3'!J58+'Draw 3'!K58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3'!H59</f>
        <v>0</v>
      </c>
      <c r="I59" s="13">
        <f t="shared" si="3"/>
        <v>0</v>
      </c>
      <c r="J59" s="13">
        <f>'Draw 3'!J59+'Draw 3'!K59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3'!H60</f>
        <v>0</v>
      </c>
      <c r="I60" s="13">
        <f t="shared" si="3"/>
        <v>0</v>
      </c>
      <c r="J60" s="13">
        <f>'Draw 3'!J60+'Draw 3'!K60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3'!H61</f>
        <v>0</v>
      </c>
      <c r="I61" s="13">
        <f t="shared" si="3"/>
        <v>0</v>
      </c>
      <c r="J61" s="13">
        <f>'Draw 3'!J61+'Draw 3'!K61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3'!H62</f>
        <v>0</v>
      </c>
      <c r="I62" s="13">
        <f t="shared" si="3"/>
        <v>0</v>
      </c>
      <c r="J62" s="13">
        <f>'Draw 3'!J62+'Draw 3'!K62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3'!H63</f>
        <v>0</v>
      </c>
      <c r="I63" s="13">
        <f t="shared" si="3"/>
        <v>0</v>
      </c>
      <c r="J63" s="13">
        <f>'Draw 3'!J63+'Draw 3'!K63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3'!H64</f>
        <v>0</v>
      </c>
      <c r="I64" s="13">
        <f t="shared" si="3"/>
        <v>0</v>
      </c>
      <c r="J64" s="13">
        <f>'Draw 3'!J64+'Draw 3'!K64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3'!H65</f>
        <v>0</v>
      </c>
      <c r="I65" s="13">
        <f t="shared" si="3"/>
        <v>0</v>
      </c>
      <c r="J65" s="13">
        <f>'Draw 3'!J65+'Draw 3'!K65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3'!H66</f>
        <v>0</v>
      </c>
      <c r="I66" s="13">
        <f t="shared" si="3"/>
        <v>0</v>
      </c>
      <c r="J66" s="13">
        <f>'Draw 3'!J66+'Draw 3'!K66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3'!H67</f>
        <v>0</v>
      </c>
      <c r="I67" s="13">
        <f t="shared" si="3"/>
        <v>0</v>
      </c>
      <c r="J67" s="13">
        <f>'Draw 3'!J67+'Draw 3'!K67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3'!H68</f>
        <v>0</v>
      </c>
      <c r="I68" s="13">
        <f t="shared" si="3"/>
        <v>0</v>
      </c>
      <c r="J68" s="13">
        <f>'Draw 3'!J68+'Draw 3'!K68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3'!H69</f>
        <v>0</v>
      </c>
      <c r="I69" s="13">
        <f t="shared" si="3"/>
        <v>0</v>
      </c>
      <c r="J69" s="13">
        <f>'Draw 3'!J69+'Draw 3'!K69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3'!H70</f>
        <v>0</v>
      </c>
      <c r="I70" s="13">
        <f t="shared" si="3"/>
        <v>0</v>
      </c>
      <c r="J70" s="13">
        <f>'Draw 3'!J70+'Draw 3'!K70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3'!H71</f>
        <v>0</v>
      </c>
      <c r="I71" s="13">
        <f t="shared" si="3"/>
        <v>0</v>
      </c>
      <c r="J71" s="13">
        <f>'Draw 3'!J71+'Draw 3'!K71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3'!H72</f>
        <v>0</v>
      </c>
      <c r="I72" s="13">
        <f t="shared" si="3"/>
        <v>0</v>
      </c>
      <c r="J72" s="13">
        <f>'Draw 3'!J72+'Draw 3'!K72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3'!H73</f>
        <v>0</v>
      </c>
      <c r="I73" s="13">
        <f t="shared" si="3"/>
        <v>0</v>
      </c>
      <c r="J73" s="13">
        <f>'Draw 3'!J73+'Draw 3'!K73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3'!H74</f>
        <v>0</v>
      </c>
      <c r="I74" s="13">
        <f t="shared" si="3"/>
        <v>0</v>
      </c>
      <c r="J74" s="13">
        <f>'Draw 3'!J74+'Draw 3'!K74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3'!H75</f>
        <v>0</v>
      </c>
      <c r="I75" s="13">
        <f t="shared" si="3"/>
        <v>0</v>
      </c>
      <c r="J75" s="13">
        <f>'Draw 3'!J75+'Draw 3'!K75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3'!H76</f>
        <v>0</v>
      </c>
      <c r="I76" s="13">
        <f t="shared" si="3"/>
        <v>0</v>
      </c>
      <c r="J76" s="13">
        <f>'Draw 3'!J76+'Draw 3'!K76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3'!H77</f>
        <v>0</v>
      </c>
      <c r="I77" s="13">
        <f t="shared" si="3"/>
        <v>0</v>
      </c>
      <c r="J77" s="13">
        <f>'Draw 3'!J77+'Draw 3'!K77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3'!H78</f>
        <v>0</v>
      </c>
      <c r="I78" s="13">
        <f t="shared" si="3"/>
        <v>0</v>
      </c>
      <c r="J78" s="13">
        <f>'Draw 3'!J78+'Draw 3'!K78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3'!H79</f>
        <v>0</v>
      </c>
      <c r="I79" s="13">
        <f t="shared" si="3"/>
        <v>0</v>
      </c>
      <c r="J79" s="13">
        <f>'Draw 3'!J79+'Draw 3'!K79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3'!H80</f>
        <v>0</v>
      </c>
      <c r="I80" s="13">
        <f t="shared" si="3"/>
        <v>0</v>
      </c>
      <c r="J80" s="13">
        <f>'Draw 3'!J80+'Draw 3'!K80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3'!H81</f>
        <v>0</v>
      </c>
      <c r="I81" s="13">
        <f t="shared" si="3"/>
        <v>0</v>
      </c>
      <c r="J81" s="13">
        <f>'Draw 3'!J81+'Draw 3'!K81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3'!H82</f>
        <v>0</v>
      </c>
      <c r="I82" s="13">
        <f t="shared" si="3"/>
        <v>0</v>
      </c>
      <c r="J82" s="13">
        <f>'Draw 3'!J82+'Draw 3'!K82</f>
        <v>0</v>
      </c>
      <c r="K82" s="14"/>
      <c r="L82" s="13">
        <f t="shared" si="4"/>
        <v>0</v>
      </c>
    </row>
    <row r="83" spans="1:12" x14ac:dyDescent="0.3">
      <c r="B83" s="79"/>
      <c r="C83" s="80"/>
      <c r="D83" s="4"/>
      <c r="E83" s="4"/>
      <c r="F83" s="12" t="s">
        <v>78</v>
      </c>
      <c r="G83" s="20">
        <f>SUM(G53:G82)+G47</f>
        <v>1268365.72</v>
      </c>
      <c r="H83" s="20">
        <f t="shared" ref="H83:L83" si="5">SUM(H53:H82)+H47</f>
        <v>0</v>
      </c>
      <c r="I83" s="20">
        <f t="shared" si="5"/>
        <v>1268365.72</v>
      </c>
      <c r="J83" s="20">
        <f t="shared" si="5"/>
        <v>1033442</v>
      </c>
      <c r="K83" s="20">
        <f t="shared" si="5"/>
        <v>101145.94</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224</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4'!H17</f>
        <v>18535.25</v>
      </c>
      <c r="I17" s="13">
        <f>+G17+H17</f>
        <v>641633.19999999995</v>
      </c>
      <c r="J17" s="13">
        <f>'Draw 4'!J17+'Draw 4'!K17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4'!H18</f>
        <v>0</v>
      </c>
      <c r="I18" s="13">
        <f t="shared" ref="I18:I46" si="0">+G18+H18</f>
        <v>0</v>
      </c>
      <c r="J18" s="13">
        <f>'Draw 4'!J18+'Draw 4'!K18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4'!H19</f>
        <v>15150</v>
      </c>
      <c r="I19" s="13">
        <f t="shared" si="0"/>
        <v>77526</v>
      </c>
      <c r="J19" s="13">
        <f>'Draw 4'!J19+'Draw 4'!K19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4'!H20</f>
        <v>0</v>
      </c>
      <c r="I20" s="13">
        <f t="shared" si="0"/>
        <v>15930</v>
      </c>
      <c r="J20" s="13">
        <f>'Draw 4'!J20+'Draw 4'!K20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4'!H21</f>
        <v>-15150</v>
      </c>
      <c r="I21" s="13">
        <f t="shared" si="0"/>
        <v>6592.2200000000012</v>
      </c>
      <c r="J21" s="13">
        <f>'Draw 4'!J21+'Draw 4'!K21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4'!H22</f>
        <v>0</v>
      </c>
      <c r="I22" s="13">
        <f t="shared" si="0"/>
        <v>0</v>
      </c>
      <c r="J22" s="13">
        <f>'Draw 4'!J22+'Draw 4'!K22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4'!H23</f>
        <v>0</v>
      </c>
      <c r="I23" s="13">
        <f t="shared" si="0"/>
        <v>424.4</v>
      </c>
      <c r="J23" s="13">
        <f>'Draw 4'!J23+'Draw 4'!K23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4'!H24</f>
        <v>0</v>
      </c>
      <c r="I24" s="13">
        <f t="shared" si="0"/>
        <v>47734</v>
      </c>
      <c r="J24" s="13">
        <f>'Draw 4'!J24+'Draw 4'!K24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4'!H25</f>
        <v>0</v>
      </c>
      <c r="I25" s="13">
        <f t="shared" si="0"/>
        <v>8214.5999999999985</v>
      </c>
      <c r="J25" s="13">
        <f>'Draw 4'!J25+'Draw 4'!K25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4'!H26</f>
        <v>0</v>
      </c>
      <c r="I26" s="13">
        <f t="shared" si="0"/>
        <v>0</v>
      </c>
      <c r="J26" s="13">
        <f>'Draw 4'!J26+'Draw 4'!K26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4'!H27</f>
        <v>0</v>
      </c>
      <c r="I27" s="13">
        <f t="shared" si="0"/>
        <v>0</v>
      </c>
      <c r="J27" s="13">
        <f>'Draw 4'!J27+'Draw 4'!K27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4'!H28</f>
        <v>0</v>
      </c>
      <c r="I28" s="13">
        <f t="shared" si="0"/>
        <v>0</v>
      </c>
      <c r="J28" s="13">
        <f>'Draw 4'!J28+'Draw 4'!K28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4'!H29</f>
        <v>0</v>
      </c>
      <c r="I29" s="13">
        <f t="shared" si="0"/>
        <v>800</v>
      </c>
      <c r="J29" s="13">
        <f>'Draw 4'!J29+'Draw 4'!K29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4'!H30</f>
        <v>0</v>
      </c>
      <c r="I30" s="13">
        <f t="shared" si="0"/>
        <v>2635</v>
      </c>
      <c r="J30" s="13">
        <f>'Draw 4'!J30+'Draw 4'!K30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4'!H31</f>
        <v>675</v>
      </c>
      <c r="I31" s="13">
        <f t="shared" si="0"/>
        <v>14120</v>
      </c>
      <c r="J31" s="13">
        <f>'Draw 4'!J31+'Draw 4'!K31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4'!H32</f>
        <v>0</v>
      </c>
      <c r="I32" s="13">
        <f t="shared" si="0"/>
        <v>0</v>
      </c>
      <c r="J32" s="13">
        <f>'Draw 4'!J32+'Draw 4'!K32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4'!H33</f>
        <v>0</v>
      </c>
      <c r="I33" s="13">
        <f t="shared" si="0"/>
        <v>18795</v>
      </c>
      <c r="J33" s="13">
        <f>'Draw 4'!J33+'Draw 4'!K33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4'!H34</f>
        <v>-675</v>
      </c>
      <c r="I34" s="13">
        <f t="shared" si="0"/>
        <v>17910.770000000004</v>
      </c>
      <c r="J34" s="13">
        <f>'Draw 4'!J34+'Draw 4'!K34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4'!H35</f>
        <v>0</v>
      </c>
      <c r="I35" s="13">
        <f t="shared" si="0"/>
        <v>16802</v>
      </c>
      <c r="J35" s="13">
        <f>'Draw 4'!J35+'Draw 4'!K35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4'!H36</f>
        <v>0</v>
      </c>
      <c r="I36" s="13">
        <f t="shared" si="0"/>
        <v>68518</v>
      </c>
      <c r="J36" s="13">
        <f>'Draw 4'!J36+'Draw 4'!K36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4'!H37</f>
        <v>0</v>
      </c>
      <c r="I37" s="13">
        <f t="shared" si="0"/>
        <v>0</v>
      </c>
      <c r="J37" s="13">
        <f>'Draw 4'!J37+'Draw 4'!K37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4'!H38</f>
        <v>-2172.5</v>
      </c>
      <c r="I38" s="13">
        <f t="shared" si="0"/>
        <v>2995</v>
      </c>
      <c r="J38" s="13">
        <f>'Draw 4'!J38+'Draw 4'!K38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4'!H39</f>
        <v>2172.5</v>
      </c>
      <c r="I39" s="13">
        <f t="shared" si="0"/>
        <v>17005</v>
      </c>
      <c r="J39" s="13">
        <f>'Draw 4'!J39+'Draw 4'!K39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4'!H40</f>
        <v>0</v>
      </c>
      <c r="I40" s="13">
        <f t="shared" si="0"/>
        <v>0</v>
      </c>
      <c r="J40" s="13">
        <f>'Draw 4'!J40+'Draw 4'!K40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4'!H41</f>
        <v>0</v>
      </c>
      <c r="I41" s="13">
        <f t="shared" si="0"/>
        <v>0</v>
      </c>
      <c r="J41" s="13">
        <f>'Draw 4'!J41+'Draw 4'!K41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4'!H42</f>
        <v>0</v>
      </c>
      <c r="I42" s="13">
        <f t="shared" si="0"/>
        <v>0</v>
      </c>
      <c r="J42" s="13">
        <f>'Draw 4'!J42+'Draw 4'!K42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4'!H43</f>
        <v>0</v>
      </c>
      <c r="I43" s="13">
        <f t="shared" si="0"/>
        <v>0</v>
      </c>
      <c r="J43" s="13">
        <f>'Draw 4'!J43+'Draw 4'!K43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4'!H44</f>
        <v>-18535.25</v>
      </c>
      <c r="I44" s="13">
        <f t="shared" si="0"/>
        <v>29997.1</v>
      </c>
      <c r="J44" s="13">
        <f>'Draw 4'!J44+'Draw 4'!K44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4'!H45</f>
        <v>0</v>
      </c>
      <c r="I45" s="13">
        <f t="shared" si="0"/>
        <v>46433.43</v>
      </c>
      <c r="J45" s="13">
        <f>'Draw 4'!J45+'Draw 4'!K45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4'!H46</f>
        <v>0</v>
      </c>
      <c r="I46" s="13">
        <f t="shared" si="0"/>
        <v>234300</v>
      </c>
      <c r="J46" s="13">
        <f>'Draw 4'!J46+'Draw 4'!K46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11" t="str">
        <f>IF(Master!$F52=0,"",Master!$F52)</f>
        <v>Type of Improvement Furnished</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4'!H53</f>
        <v>0</v>
      </c>
      <c r="I53" s="13">
        <f t="shared" ref="I53:I82" si="3">+G53+H53</f>
        <v>0</v>
      </c>
      <c r="J53" s="13">
        <f>'Draw 4'!J53+'Draw 4'!K53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4'!H54</f>
        <v>0</v>
      </c>
      <c r="I54" s="13">
        <f t="shared" si="3"/>
        <v>0</v>
      </c>
      <c r="J54" s="13">
        <f>'Draw 4'!J54+'Draw 4'!K54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4'!H55</f>
        <v>0</v>
      </c>
      <c r="I55" s="13">
        <f t="shared" si="3"/>
        <v>0</v>
      </c>
      <c r="J55" s="13">
        <f>'Draw 4'!J55+'Draw 4'!K55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4'!H56</f>
        <v>0</v>
      </c>
      <c r="I56" s="13">
        <f t="shared" si="3"/>
        <v>0</v>
      </c>
      <c r="J56" s="13">
        <f>'Draw 4'!J56+'Draw 4'!K56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4'!H57</f>
        <v>0</v>
      </c>
      <c r="I57" s="13">
        <f t="shared" si="3"/>
        <v>0</v>
      </c>
      <c r="J57" s="13">
        <f>'Draw 4'!J57+'Draw 4'!K57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4'!H58</f>
        <v>0</v>
      </c>
      <c r="I58" s="13">
        <f t="shared" si="3"/>
        <v>0</v>
      </c>
      <c r="J58" s="13">
        <f>'Draw 4'!J58+'Draw 4'!K58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4'!H59</f>
        <v>0</v>
      </c>
      <c r="I59" s="13">
        <f t="shared" si="3"/>
        <v>0</v>
      </c>
      <c r="J59" s="13">
        <f>'Draw 4'!J59+'Draw 4'!K59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4'!H60</f>
        <v>0</v>
      </c>
      <c r="I60" s="13">
        <f t="shared" si="3"/>
        <v>0</v>
      </c>
      <c r="J60" s="13">
        <f>'Draw 4'!J60+'Draw 4'!K60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4'!H61</f>
        <v>0</v>
      </c>
      <c r="I61" s="13">
        <f t="shared" si="3"/>
        <v>0</v>
      </c>
      <c r="J61" s="13">
        <f>'Draw 4'!J61+'Draw 4'!K61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4'!H62</f>
        <v>0</v>
      </c>
      <c r="I62" s="13">
        <f t="shared" si="3"/>
        <v>0</v>
      </c>
      <c r="J62" s="13">
        <f>'Draw 4'!J62+'Draw 4'!K62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4'!H63</f>
        <v>0</v>
      </c>
      <c r="I63" s="13">
        <f t="shared" si="3"/>
        <v>0</v>
      </c>
      <c r="J63" s="13">
        <f>'Draw 4'!J63+'Draw 4'!K63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4'!H64</f>
        <v>0</v>
      </c>
      <c r="I64" s="13">
        <f t="shared" si="3"/>
        <v>0</v>
      </c>
      <c r="J64" s="13">
        <f>'Draw 4'!J64+'Draw 4'!K64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4'!H65</f>
        <v>0</v>
      </c>
      <c r="I65" s="13">
        <f t="shared" si="3"/>
        <v>0</v>
      </c>
      <c r="J65" s="13">
        <f>'Draw 4'!J65+'Draw 4'!K65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4'!H66</f>
        <v>0</v>
      </c>
      <c r="I66" s="13">
        <f t="shared" si="3"/>
        <v>0</v>
      </c>
      <c r="J66" s="13">
        <f>'Draw 4'!J66+'Draw 4'!K66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4'!H67</f>
        <v>0</v>
      </c>
      <c r="I67" s="13">
        <f t="shared" si="3"/>
        <v>0</v>
      </c>
      <c r="J67" s="13">
        <f>'Draw 4'!J67+'Draw 4'!K67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4'!H68</f>
        <v>0</v>
      </c>
      <c r="I68" s="13">
        <f t="shared" si="3"/>
        <v>0</v>
      </c>
      <c r="J68" s="13">
        <f>'Draw 4'!J68+'Draw 4'!K68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4'!H69</f>
        <v>0</v>
      </c>
      <c r="I69" s="13">
        <f t="shared" si="3"/>
        <v>0</v>
      </c>
      <c r="J69" s="13">
        <f>'Draw 4'!J69+'Draw 4'!K69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4'!H70</f>
        <v>0</v>
      </c>
      <c r="I70" s="13">
        <f t="shared" si="3"/>
        <v>0</v>
      </c>
      <c r="J70" s="13">
        <f>'Draw 4'!J70+'Draw 4'!K70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4'!H71</f>
        <v>0</v>
      </c>
      <c r="I71" s="13">
        <f t="shared" si="3"/>
        <v>0</v>
      </c>
      <c r="J71" s="13">
        <f>'Draw 4'!J71+'Draw 4'!K71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4'!H72</f>
        <v>0</v>
      </c>
      <c r="I72" s="13">
        <f t="shared" si="3"/>
        <v>0</v>
      </c>
      <c r="J72" s="13">
        <f>'Draw 4'!J72+'Draw 4'!K72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4'!H73</f>
        <v>0</v>
      </c>
      <c r="I73" s="13">
        <f t="shared" si="3"/>
        <v>0</v>
      </c>
      <c r="J73" s="13">
        <f>'Draw 4'!J73+'Draw 4'!K73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4'!H74</f>
        <v>0</v>
      </c>
      <c r="I74" s="13">
        <f t="shared" si="3"/>
        <v>0</v>
      </c>
      <c r="J74" s="13">
        <f>'Draw 4'!J74+'Draw 4'!K74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4'!H75</f>
        <v>0</v>
      </c>
      <c r="I75" s="13">
        <f t="shared" si="3"/>
        <v>0</v>
      </c>
      <c r="J75" s="13">
        <f>'Draw 4'!J75+'Draw 4'!K75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4'!H76</f>
        <v>0</v>
      </c>
      <c r="I76" s="13">
        <f t="shared" si="3"/>
        <v>0</v>
      </c>
      <c r="J76" s="13">
        <f>'Draw 4'!J76+'Draw 4'!K76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4'!H77</f>
        <v>0</v>
      </c>
      <c r="I77" s="13">
        <f t="shared" si="3"/>
        <v>0</v>
      </c>
      <c r="J77" s="13">
        <f>'Draw 4'!J77+'Draw 4'!K77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4'!H78</f>
        <v>0</v>
      </c>
      <c r="I78" s="13">
        <f t="shared" si="3"/>
        <v>0</v>
      </c>
      <c r="J78" s="13">
        <f>'Draw 4'!J78+'Draw 4'!K78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4'!H79</f>
        <v>0</v>
      </c>
      <c r="I79" s="13">
        <f t="shared" si="3"/>
        <v>0</v>
      </c>
      <c r="J79" s="13">
        <f>'Draw 4'!J79+'Draw 4'!K79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4'!H80</f>
        <v>0</v>
      </c>
      <c r="I80" s="13">
        <f t="shared" si="3"/>
        <v>0</v>
      </c>
      <c r="J80" s="13">
        <f>'Draw 4'!J80+'Draw 4'!K80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4'!H81</f>
        <v>0</v>
      </c>
      <c r="I81" s="13">
        <f t="shared" si="3"/>
        <v>0</v>
      </c>
      <c r="J81" s="13">
        <f>'Draw 4'!J81+'Draw 4'!K81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4'!H82</f>
        <v>0</v>
      </c>
      <c r="I82" s="13">
        <f t="shared" si="3"/>
        <v>0</v>
      </c>
      <c r="J82" s="13">
        <f>'Draw 4'!J82+'Draw 4'!K82</f>
        <v>0</v>
      </c>
      <c r="K82" s="14"/>
      <c r="L82" s="13">
        <f t="shared" si="4"/>
        <v>0</v>
      </c>
    </row>
    <row r="83" spans="1:12" x14ac:dyDescent="0.3">
      <c r="B83" s="79"/>
      <c r="C83" s="80"/>
      <c r="D83" s="4"/>
      <c r="E83" s="4"/>
      <c r="F83" s="12" t="s">
        <v>78</v>
      </c>
      <c r="G83" s="20">
        <f>SUM(G53:G82)+G47</f>
        <v>1268365.72</v>
      </c>
      <c r="H83" s="20">
        <f t="shared" ref="H83:L83" si="5">SUM(H53:H82)+H47</f>
        <v>0</v>
      </c>
      <c r="I83" s="20">
        <f t="shared" si="5"/>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225</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5'!H17</f>
        <v>18535.25</v>
      </c>
      <c r="I17" s="13">
        <f>+G17+H17</f>
        <v>641633.19999999995</v>
      </c>
      <c r="J17" s="13">
        <f>'Draw 5'!J17+'Draw 5'!K17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5'!H18</f>
        <v>0</v>
      </c>
      <c r="I18" s="13">
        <f t="shared" ref="I18:I46" si="0">+G18+H18</f>
        <v>0</v>
      </c>
      <c r="J18" s="13">
        <f>'Draw 5'!J18+'Draw 5'!K18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5'!H19</f>
        <v>15150</v>
      </c>
      <c r="I19" s="13">
        <f t="shared" si="0"/>
        <v>77526</v>
      </c>
      <c r="J19" s="13">
        <f>'Draw 5'!J19+'Draw 5'!K19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5'!H20</f>
        <v>0</v>
      </c>
      <c r="I20" s="13">
        <f t="shared" si="0"/>
        <v>15930</v>
      </c>
      <c r="J20" s="13">
        <f>'Draw 5'!J20+'Draw 5'!K20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5'!H21</f>
        <v>-15150</v>
      </c>
      <c r="I21" s="13">
        <f t="shared" si="0"/>
        <v>6592.2200000000012</v>
      </c>
      <c r="J21" s="13">
        <f>'Draw 5'!J21+'Draw 5'!K21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5'!H22</f>
        <v>0</v>
      </c>
      <c r="I22" s="13">
        <f t="shared" si="0"/>
        <v>0</v>
      </c>
      <c r="J22" s="13">
        <f>'Draw 5'!J22+'Draw 5'!K22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5'!H23</f>
        <v>0</v>
      </c>
      <c r="I23" s="13">
        <f t="shared" si="0"/>
        <v>424.4</v>
      </c>
      <c r="J23" s="13">
        <f>'Draw 5'!J23+'Draw 5'!K23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5'!H24</f>
        <v>0</v>
      </c>
      <c r="I24" s="13">
        <f t="shared" si="0"/>
        <v>47734</v>
      </c>
      <c r="J24" s="13">
        <f>'Draw 5'!J24+'Draw 5'!K24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5'!H25</f>
        <v>0</v>
      </c>
      <c r="I25" s="13">
        <f t="shared" si="0"/>
        <v>8214.5999999999985</v>
      </c>
      <c r="J25" s="13">
        <f>'Draw 5'!J25+'Draw 5'!K25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5'!H26</f>
        <v>0</v>
      </c>
      <c r="I26" s="13">
        <f t="shared" si="0"/>
        <v>0</v>
      </c>
      <c r="J26" s="13">
        <f>'Draw 5'!J26+'Draw 5'!K26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5'!H27</f>
        <v>0</v>
      </c>
      <c r="I27" s="13">
        <f t="shared" si="0"/>
        <v>0</v>
      </c>
      <c r="J27" s="13">
        <f>'Draw 5'!J27+'Draw 5'!K27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5'!H28</f>
        <v>0</v>
      </c>
      <c r="I28" s="13">
        <f t="shared" si="0"/>
        <v>0</v>
      </c>
      <c r="J28" s="13">
        <f>'Draw 5'!J28+'Draw 5'!K28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5'!H29</f>
        <v>0</v>
      </c>
      <c r="I29" s="13">
        <f t="shared" si="0"/>
        <v>800</v>
      </c>
      <c r="J29" s="13">
        <f>'Draw 5'!J29+'Draw 5'!K29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5'!H30</f>
        <v>0</v>
      </c>
      <c r="I30" s="13">
        <f t="shared" si="0"/>
        <v>2635</v>
      </c>
      <c r="J30" s="13">
        <f>'Draw 5'!J30+'Draw 5'!K30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5'!H31</f>
        <v>675</v>
      </c>
      <c r="I31" s="13">
        <f t="shared" si="0"/>
        <v>14120</v>
      </c>
      <c r="J31" s="13">
        <f>'Draw 5'!J31+'Draw 5'!K31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5'!H32</f>
        <v>0</v>
      </c>
      <c r="I32" s="13">
        <f t="shared" si="0"/>
        <v>0</v>
      </c>
      <c r="J32" s="13">
        <f>'Draw 5'!J32+'Draw 5'!K32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5'!H33</f>
        <v>0</v>
      </c>
      <c r="I33" s="13">
        <f t="shared" si="0"/>
        <v>18795</v>
      </c>
      <c r="J33" s="13">
        <f>'Draw 5'!J33+'Draw 5'!K33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5'!H34</f>
        <v>-675</v>
      </c>
      <c r="I34" s="13">
        <f t="shared" si="0"/>
        <v>17910.770000000004</v>
      </c>
      <c r="J34" s="13">
        <f>'Draw 5'!J34+'Draw 5'!K34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5'!H35</f>
        <v>0</v>
      </c>
      <c r="I35" s="13">
        <f t="shared" si="0"/>
        <v>16802</v>
      </c>
      <c r="J35" s="13">
        <f>'Draw 5'!J35+'Draw 5'!K35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5'!H36</f>
        <v>0</v>
      </c>
      <c r="I36" s="13">
        <f t="shared" si="0"/>
        <v>68518</v>
      </c>
      <c r="J36" s="13">
        <f>'Draw 5'!J36+'Draw 5'!K36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5'!H37</f>
        <v>0</v>
      </c>
      <c r="I37" s="13">
        <f t="shared" si="0"/>
        <v>0</v>
      </c>
      <c r="J37" s="13">
        <f>'Draw 5'!J37+'Draw 5'!K37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5'!H38</f>
        <v>-2172.5</v>
      </c>
      <c r="I38" s="13">
        <f t="shared" si="0"/>
        <v>2995</v>
      </c>
      <c r="J38" s="13">
        <f>'Draw 5'!J38+'Draw 5'!K38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5'!H39</f>
        <v>2172.5</v>
      </c>
      <c r="I39" s="13">
        <f t="shared" si="0"/>
        <v>17005</v>
      </c>
      <c r="J39" s="13">
        <f>'Draw 5'!J39+'Draw 5'!K39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5'!H40</f>
        <v>0</v>
      </c>
      <c r="I40" s="13">
        <f t="shared" si="0"/>
        <v>0</v>
      </c>
      <c r="J40" s="13">
        <f>'Draw 5'!J40+'Draw 5'!K40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5'!H41</f>
        <v>0</v>
      </c>
      <c r="I41" s="13">
        <f t="shared" si="0"/>
        <v>0</v>
      </c>
      <c r="J41" s="13">
        <f>'Draw 5'!J41+'Draw 5'!K41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5'!H42</f>
        <v>0</v>
      </c>
      <c r="I42" s="13">
        <f t="shared" si="0"/>
        <v>0</v>
      </c>
      <c r="J42" s="13">
        <f>'Draw 5'!J42+'Draw 5'!K42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5'!H43</f>
        <v>0</v>
      </c>
      <c r="I43" s="13">
        <f t="shared" si="0"/>
        <v>0</v>
      </c>
      <c r="J43" s="13">
        <f>'Draw 5'!J43+'Draw 5'!K43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5'!H44</f>
        <v>-18535.25</v>
      </c>
      <c r="I44" s="13">
        <f t="shared" si="0"/>
        <v>29997.1</v>
      </c>
      <c r="J44" s="13">
        <f>'Draw 5'!J44+'Draw 5'!K44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5'!H45</f>
        <v>0</v>
      </c>
      <c r="I45" s="13">
        <f t="shared" si="0"/>
        <v>46433.43</v>
      </c>
      <c r="J45" s="13">
        <f>'Draw 5'!J45+'Draw 5'!K45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5'!H46</f>
        <v>0</v>
      </c>
      <c r="I46" s="13">
        <f t="shared" si="0"/>
        <v>234300</v>
      </c>
      <c r="J46" s="13">
        <f>'Draw 5'!J46+'Draw 5'!K46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5'!H53</f>
        <v>0</v>
      </c>
      <c r="I53" s="13">
        <f t="shared" ref="I53:I82" si="3">+G53+H53</f>
        <v>0</v>
      </c>
      <c r="J53" s="13">
        <f>'Draw 5'!J53+'Draw 5'!K53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5'!H54</f>
        <v>0</v>
      </c>
      <c r="I54" s="13">
        <f t="shared" si="3"/>
        <v>0</v>
      </c>
      <c r="J54" s="13">
        <f>'Draw 5'!J54+'Draw 5'!K54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5'!H55</f>
        <v>0</v>
      </c>
      <c r="I55" s="13">
        <f t="shared" si="3"/>
        <v>0</v>
      </c>
      <c r="J55" s="13">
        <f>'Draw 5'!J55+'Draw 5'!K55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5'!H56</f>
        <v>0</v>
      </c>
      <c r="I56" s="13">
        <f t="shared" si="3"/>
        <v>0</v>
      </c>
      <c r="J56" s="13">
        <f>'Draw 5'!J56+'Draw 5'!K56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5'!H57</f>
        <v>0</v>
      </c>
      <c r="I57" s="13">
        <f t="shared" si="3"/>
        <v>0</v>
      </c>
      <c r="J57" s="13">
        <f>'Draw 5'!J57+'Draw 5'!K57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5'!H58</f>
        <v>0</v>
      </c>
      <c r="I58" s="13">
        <f t="shared" si="3"/>
        <v>0</v>
      </c>
      <c r="J58" s="13">
        <f>'Draw 5'!J58+'Draw 5'!K58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5'!H59</f>
        <v>0</v>
      </c>
      <c r="I59" s="13">
        <f t="shared" si="3"/>
        <v>0</v>
      </c>
      <c r="J59" s="13">
        <f>'Draw 5'!J59+'Draw 5'!K59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5'!H60</f>
        <v>0</v>
      </c>
      <c r="I60" s="13">
        <f t="shared" si="3"/>
        <v>0</v>
      </c>
      <c r="J60" s="13">
        <f>'Draw 5'!J60+'Draw 5'!K60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5'!H61</f>
        <v>0</v>
      </c>
      <c r="I61" s="13">
        <f t="shared" si="3"/>
        <v>0</v>
      </c>
      <c r="J61" s="13">
        <f>'Draw 5'!J61+'Draw 5'!K61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5'!H62</f>
        <v>0</v>
      </c>
      <c r="I62" s="13">
        <f t="shared" si="3"/>
        <v>0</v>
      </c>
      <c r="J62" s="13">
        <f>'Draw 5'!J62+'Draw 5'!K62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5'!H63</f>
        <v>0</v>
      </c>
      <c r="I63" s="13">
        <f t="shared" si="3"/>
        <v>0</v>
      </c>
      <c r="J63" s="13">
        <f>'Draw 5'!J63+'Draw 5'!K63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5'!H64</f>
        <v>0</v>
      </c>
      <c r="I64" s="13">
        <f t="shared" si="3"/>
        <v>0</v>
      </c>
      <c r="J64" s="13">
        <f>'Draw 5'!J64+'Draw 5'!K64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5'!H65</f>
        <v>0</v>
      </c>
      <c r="I65" s="13">
        <f t="shared" si="3"/>
        <v>0</v>
      </c>
      <c r="J65" s="13">
        <f>'Draw 5'!J65+'Draw 5'!K65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5'!H66</f>
        <v>0</v>
      </c>
      <c r="I66" s="13">
        <f t="shared" si="3"/>
        <v>0</v>
      </c>
      <c r="J66" s="13">
        <f>'Draw 5'!J66+'Draw 5'!K66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5'!H67</f>
        <v>0</v>
      </c>
      <c r="I67" s="13">
        <f t="shared" si="3"/>
        <v>0</v>
      </c>
      <c r="J67" s="13">
        <f>'Draw 5'!J67+'Draw 5'!K67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5'!H68</f>
        <v>0</v>
      </c>
      <c r="I68" s="13">
        <f t="shared" si="3"/>
        <v>0</v>
      </c>
      <c r="J68" s="13">
        <f>'Draw 5'!J68+'Draw 5'!K68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5'!H69</f>
        <v>0</v>
      </c>
      <c r="I69" s="13">
        <f t="shared" si="3"/>
        <v>0</v>
      </c>
      <c r="J69" s="13">
        <f>'Draw 5'!J69+'Draw 5'!K69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5'!H70</f>
        <v>0</v>
      </c>
      <c r="I70" s="13">
        <f t="shared" si="3"/>
        <v>0</v>
      </c>
      <c r="J70" s="13">
        <f>'Draw 5'!J70+'Draw 5'!K70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5'!H71</f>
        <v>0</v>
      </c>
      <c r="I71" s="13">
        <f t="shared" si="3"/>
        <v>0</v>
      </c>
      <c r="J71" s="13">
        <f>'Draw 5'!J71+'Draw 5'!K71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5'!H72</f>
        <v>0</v>
      </c>
      <c r="I72" s="13">
        <f t="shared" si="3"/>
        <v>0</v>
      </c>
      <c r="J72" s="13">
        <f>'Draw 5'!J72+'Draw 5'!K72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5'!H73</f>
        <v>0</v>
      </c>
      <c r="I73" s="13">
        <f t="shared" si="3"/>
        <v>0</v>
      </c>
      <c r="J73" s="13">
        <f>'Draw 5'!J73+'Draw 5'!K73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5'!H74</f>
        <v>0</v>
      </c>
      <c r="I74" s="13">
        <f t="shared" si="3"/>
        <v>0</v>
      </c>
      <c r="J74" s="13">
        <f>'Draw 5'!J74+'Draw 5'!K74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5'!H75</f>
        <v>0</v>
      </c>
      <c r="I75" s="13">
        <f t="shared" si="3"/>
        <v>0</v>
      </c>
      <c r="J75" s="13">
        <f>'Draw 5'!J75+'Draw 5'!K75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5'!H76</f>
        <v>0</v>
      </c>
      <c r="I76" s="13">
        <f t="shared" si="3"/>
        <v>0</v>
      </c>
      <c r="J76" s="13">
        <f>'Draw 5'!J76+'Draw 5'!K76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5'!H77</f>
        <v>0</v>
      </c>
      <c r="I77" s="13">
        <f t="shared" si="3"/>
        <v>0</v>
      </c>
      <c r="J77" s="13">
        <f>'Draw 5'!J77+'Draw 5'!K77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5'!H78</f>
        <v>0</v>
      </c>
      <c r="I78" s="13">
        <f t="shared" si="3"/>
        <v>0</v>
      </c>
      <c r="J78" s="13">
        <f>'Draw 5'!J78+'Draw 5'!K78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5'!H79</f>
        <v>0</v>
      </c>
      <c r="I79" s="13">
        <f t="shared" si="3"/>
        <v>0</v>
      </c>
      <c r="J79" s="13">
        <f>'Draw 5'!J79+'Draw 5'!K79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5'!H80</f>
        <v>0</v>
      </c>
      <c r="I80" s="13">
        <f t="shared" si="3"/>
        <v>0</v>
      </c>
      <c r="J80" s="13">
        <f>'Draw 5'!J80+'Draw 5'!K80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5'!H81</f>
        <v>0</v>
      </c>
      <c r="I81" s="13">
        <f t="shared" si="3"/>
        <v>0</v>
      </c>
      <c r="J81" s="13">
        <f>'Draw 5'!J81+'Draw 5'!K81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5'!H82</f>
        <v>0</v>
      </c>
      <c r="I82" s="13">
        <f t="shared" si="3"/>
        <v>0</v>
      </c>
      <c r="J82" s="13">
        <f>'Draw 5'!J82+'Draw 5'!K82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226</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6'!H17</f>
        <v>18535.25</v>
      </c>
      <c r="I17" s="13">
        <f>+G17+H17</f>
        <v>641633.19999999995</v>
      </c>
      <c r="J17" s="13">
        <f>'Draw 6'!J17+'Draw 6'!K17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6'!H18</f>
        <v>0</v>
      </c>
      <c r="I18" s="13">
        <f t="shared" ref="I18:I46" si="0">+G18+H18</f>
        <v>0</v>
      </c>
      <c r="J18" s="13">
        <f>'Draw 6'!J18+'Draw 6'!K18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6'!H19</f>
        <v>15150</v>
      </c>
      <c r="I19" s="13">
        <f t="shared" si="0"/>
        <v>77526</v>
      </c>
      <c r="J19" s="13">
        <f>'Draw 6'!J19+'Draw 6'!K19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6'!H20</f>
        <v>0</v>
      </c>
      <c r="I20" s="13">
        <f t="shared" si="0"/>
        <v>15930</v>
      </c>
      <c r="J20" s="13">
        <f>'Draw 6'!J20+'Draw 6'!K20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6'!H21</f>
        <v>-15150</v>
      </c>
      <c r="I21" s="13">
        <f t="shared" si="0"/>
        <v>6592.2200000000012</v>
      </c>
      <c r="J21" s="13">
        <f>'Draw 6'!J21+'Draw 6'!K21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6'!H22</f>
        <v>0</v>
      </c>
      <c r="I22" s="13">
        <f t="shared" si="0"/>
        <v>0</v>
      </c>
      <c r="J22" s="13">
        <f>'Draw 6'!J22+'Draw 6'!K22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6'!H23</f>
        <v>0</v>
      </c>
      <c r="I23" s="13">
        <f t="shared" si="0"/>
        <v>424.4</v>
      </c>
      <c r="J23" s="13">
        <f>'Draw 6'!J23+'Draw 6'!K23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6'!H24</f>
        <v>0</v>
      </c>
      <c r="I24" s="13">
        <f t="shared" si="0"/>
        <v>47734</v>
      </c>
      <c r="J24" s="13">
        <f>'Draw 6'!J24+'Draw 6'!K24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6'!H25</f>
        <v>0</v>
      </c>
      <c r="I25" s="13">
        <f t="shared" si="0"/>
        <v>8214.5999999999985</v>
      </c>
      <c r="J25" s="13">
        <f>'Draw 6'!J25+'Draw 6'!K25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6'!H26</f>
        <v>0</v>
      </c>
      <c r="I26" s="13">
        <f t="shared" si="0"/>
        <v>0</v>
      </c>
      <c r="J26" s="13">
        <f>'Draw 6'!J26+'Draw 6'!K26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6'!H27</f>
        <v>0</v>
      </c>
      <c r="I27" s="13">
        <f t="shared" si="0"/>
        <v>0</v>
      </c>
      <c r="J27" s="13">
        <f>'Draw 6'!J27+'Draw 6'!K27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6'!H28</f>
        <v>0</v>
      </c>
      <c r="I28" s="13">
        <f t="shared" si="0"/>
        <v>0</v>
      </c>
      <c r="J28" s="13">
        <f>'Draw 6'!J28+'Draw 6'!K28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6'!H29</f>
        <v>0</v>
      </c>
      <c r="I29" s="13">
        <f t="shared" si="0"/>
        <v>800</v>
      </c>
      <c r="J29" s="13">
        <f>'Draw 6'!J29+'Draw 6'!K29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6'!H30</f>
        <v>0</v>
      </c>
      <c r="I30" s="13">
        <f t="shared" si="0"/>
        <v>2635</v>
      </c>
      <c r="J30" s="13">
        <f>'Draw 6'!J30+'Draw 6'!K30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6'!H31</f>
        <v>675</v>
      </c>
      <c r="I31" s="13">
        <f t="shared" si="0"/>
        <v>14120</v>
      </c>
      <c r="J31" s="13">
        <f>'Draw 6'!J31+'Draw 6'!K31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6'!H32</f>
        <v>0</v>
      </c>
      <c r="I32" s="13">
        <f t="shared" si="0"/>
        <v>0</v>
      </c>
      <c r="J32" s="13">
        <f>'Draw 6'!J32+'Draw 6'!K32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6'!H33</f>
        <v>0</v>
      </c>
      <c r="I33" s="13">
        <f t="shared" si="0"/>
        <v>18795</v>
      </c>
      <c r="J33" s="13">
        <f>'Draw 6'!J33+'Draw 6'!K33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6'!H34</f>
        <v>-675</v>
      </c>
      <c r="I34" s="13">
        <f t="shared" si="0"/>
        <v>17910.770000000004</v>
      </c>
      <c r="J34" s="13">
        <f>'Draw 6'!J34+'Draw 6'!K34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6'!H35</f>
        <v>0</v>
      </c>
      <c r="I35" s="13">
        <f t="shared" si="0"/>
        <v>16802</v>
      </c>
      <c r="J35" s="13">
        <f>'Draw 6'!J35+'Draw 6'!K35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6'!H36</f>
        <v>0</v>
      </c>
      <c r="I36" s="13">
        <f t="shared" si="0"/>
        <v>68518</v>
      </c>
      <c r="J36" s="13">
        <f>'Draw 6'!J36+'Draw 6'!K36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6'!H37</f>
        <v>0</v>
      </c>
      <c r="I37" s="13">
        <f t="shared" si="0"/>
        <v>0</v>
      </c>
      <c r="J37" s="13">
        <f>'Draw 6'!J37+'Draw 6'!K37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6'!H38</f>
        <v>-2172.5</v>
      </c>
      <c r="I38" s="13">
        <f t="shared" si="0"/>
        <v>2995</v>
      </c>
      <c r="J38" s="13">
        <f>'Draw 6'!J38+'Draw 6'!K38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6'!H39</f>
        <v>2172.5</v>
      </c>
      <c r="I39" s="13">
        <f t="shared" si="0"/>
        <v>17005</v>
      </c>
      <c r="J39" s="13">
        <f>'Draw 6'!J39+'Draw 6'!K39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6'!H40</f>
        <v>0</v>
      </c>
      <c r="I40" s="13">
        <f t="shared" si="0"/>
        <v>0</v>
      </c>
      <c r="J40" s="13">
        <f>'Draw 6'!J40+'Draw 6'!K40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6'!H41</f>
        <v>0</v>
      </c>
      <c r="I41" s="13">
        <f t="shared" si="0"/>
        <v>0</v>
      </c>
      <c r="J41" s="13">
        <f>'Draw 6'!J41+'Draw 6'!K41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6'!H42</f>
        <v>0</v>
      </c>
      <c r="I42" s="13">
        <f t="shared" si="0"/>
        <v>0</v>
      </c>
      <c r="J42" s="13">
        <f>'Draw 6'!J42+'Draw 6'!K42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6'!H43</f>
        <v>0</v>
      </c>
      <c r="I43" s="13">
        <f t="shared" si="0"/>
        <v>0</v>
      </c>
      <c r="J43" s="13">
        <f>'Draw 6'!J43+'Draw 6'!K43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6'!H44</f>
        <v>-18535.25</v>
      </c>
      <c r="I44" s="13">
        <f t="shared" si="0"/>
        <v>29997.1</v>
      </c>
      <c r="J44" s="13">
        <f>'Draw 6'!J44+'Draw 6'!K44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6'!H45</f>
        <v>0</v>
      </c>
      <c r="I45" s="13">
        <f t="shared" si="0"/>
        <v>46433.43</v>
      </c>
      <c r="J45" s="13">
        <f>'Draw 6'!J45+'Draw 6'!K45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6'!H46</f>
        <v>0</v>
      </c>
      <c r="I46" s="13">
        <f t="shared" si="0"/>
        <v>234300</v>
      </c>
      <c r="J46" s="13">
        <f>'Draw 6'!J46+'Draw 6'!K46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6'!H53</f>
        <v>0</v>
      </c>
      <c r="I53" s="13">
        <f t="shared" ref="I53:I82" si="3">+G53+H53</f>
        <v>0</v>
      </c>
      <c r="J53" s="13">
        <f>'Draw 6'!J53+'Draw 6'!K53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6'!H54</f>
        <v>0</v>
      </c>
      <c r="I54" s="13">
        <f t="shared" si="3"/>
        <v>0</v>
      </c>
      <c r="J54" s="13">
        <f>'Draw 6'!J54+'Draw 6'!K54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6'!H55</f>
        <v>0</v>
      </c>
      <c r="I55" s="13">
        <f t="shared" si="3"/>
        <v>0</v>
      </c>
      <c r="J55" s="13">
        <f>'Draw 6'!J55+'Draw 6'!K55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6'!H56</f>
        <v>0</v>
      </c>
      <c r="I56" s="13">
        <f t="shared" si="3"/>
        <v>0</v>
      </c>
      <c r="J56" s="13">
        <f>'Draw 6'!J56+'Draw 6'!K56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6'!H57</f>
        <v>0</v>
      </c>
      <c r="I57" s="13">
        <f t="shared" si="3"/>
        <v>0</v>
      </c>
      <c r="J57" s="13">
        <f>'Draw 6'!J57+'Draw 6'!K57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6'!H58</f>
        <v>0</v>
      </c>
      <c r="I58" s="13">
        <f t="shared" si="3"/>
        <v>0</v>
      </c>
      <c r="J58" s="13">
        <f>'Draw 6'!J58+'Draw 6'!K58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6'!H59</f>
        <v>0</v>
      </c>
      <c r="I59" s="13">
        <f t="shared" si="3"/>
        <v>0</v>
      </c>
      <c r="J59" s="13">
        <f>'Draw 6'!J59+'Draw 6'!K59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6'!H60</f>
        <v>0</v>
      </c>
      <c r="I60" s="13">
        <f t="shared" si="3"/>
        <v>0</v>
      </c>
      <c r="J60" s="13">
        <f>'Draw 6'!J60+'Draw 6'!K60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6'!H61</f>
        <v>0</v>
      </c>
      <c r="I61" s="13">
        <f t="shared" si="3"/>
        <v>0</v>
      </c>
      <c r="J61" s="13">
        <f>'Draw 6'!J61+'Draw 6'!K61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6'!H62</f>
        <v>0</v>
      </c>
      <c r="I62" s="13">
        <f t="shared" si="3"/>
        <v>0</v>
      </c>
      <c r="J62" s="13">
        <f>'Draw 6'!J62+'Draw 6'!K62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6'!H63</f>
        <v>0</v>
      </c>
      <c r="I63" s="13">
        <f t="shared" si="3"/>
        <v>0</v>
      </c>
      <c r="J63" s="13">
        <f>'Draw 6'!J63+'Draw 6'!K63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6'!H64</f>
        <v>0</v>
      </c>
      <c r="I64" s="13">
        <f t="shared" si="3"/>
        <v>0</v>
      </c>
      <c r="J64" s="13">
        <f>'Draw 6'!J64+'Draw 6'!K64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6'!H65</f>
        <v>0</v>
      </c>
      <c r="I65" s="13">
        <f t="shared" si="3"/>
        <v>0</v>
      </c>
      <c r="J65" s="13">
        <f>'Draw 6'!J65+'Draw 6'!K65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6'!H66</f>
        <v>0</v>
      </c>
      <c r="I66" s="13">
        <f t="shared" si="3"/>
        <v>0</v>
      </c>
      <c r="J66" s="13">
        <f>'Draw 6'!J66+'Draw 6'!K66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6'!H67</f>
        <v>0</v>
      </c>
      <c r="I67" s="13">
        <f t="shared" si="3"/>
        <v>0</v>
      </c>
      <c r="J67" s="13">
        <f>'Draw 6'!J67+'Draw 6'!K67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6'!H68</f>
        <v>0</v>
      </c>
      <c r="I68" s="13">
        <f t="shared" si="3"/>
        <v>0</v>
      </c>
      <c r="J68" s="13">
        <f>'Draw 6'!J68+'Draw 6'!K68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6'!H69</f>
        <v>0</v>
      </c>
      <c r="I69" s="13">
        <f t="shared" si="3"/>
        <v>0</v>
      </c>
      <c r="J69" s="13">
        <f>'Draw 6'!J69+'Draw 6'!K69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6'!H70</f>
        <v>0</v>
      </c>
      <c r="I70" s="13">
        <f t="shared" si="3"/>
        <v>0</v>
      </c>
      <c r="J70" s="13">
        <f>'Draw 6'!J70+'Draw 6'!K70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6'!H71</f>
        <v>0</v>
      </c>
      <c r="I71" s="13">
        <f t="shared" si="3"/>
        <v>0</v>
      </c>
      <c r="J71" s="13">
        <f>'Draw 6'!J71+'Draw 6'!K71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6'!H72</f>
        <v>0</v>
      </c>
      <c r="I72" s="13">
        <f t="shared" si="3"/>
        <v>0</v>
      </c>
      <c r="J72" s="13">
        <f>'Draw 6'!J72+'Draw 6'!K72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6'!H73</f>
        <v>0</v>
      </c>
      <c r="I73" s="13">
        <f t="shared" si="3"/>
        <v>0</v>
      </c>
      <c r="J73" s="13">
        <f>'Draw 6'!J73+'Draw 6'!K73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6'!H74</f>
        <v>0</v>
      </c>
      <c r="I74" s="13">
        <f t="shared" si="3"/>
        <v>0</v>
      </c>
      <c r="J74" s="13">
        <f>'Draw 6'!J74+'Draw 6'!K74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6'!H75</f>
        <v>0</v>
      </c>
      <c r="I75" s="13">
        <f t="shared" si="3"/>
        <v>0</v>
      </c>
      <c r="J75" s="13">
        <f>'Draw 6'!J75+'Draw 6'!K75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6'!H76</f>
        <v>0</v>
      </c>
      <c r="I76" s="13">
        <f t="shared" si="3"/>
        <v>0</v>
      </c>
      <c r="J76" s="13">
        <f>'Draw 6'!J76+'Draw 6'!K76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6'!H77</f>
        <v>0</v>
      </c>
      <c r="I77" s="13">
        <f t="shared" si="3"/>
        <v>0</v>
      </c>
      <c r="J77" s="13">
        <f>'Draw 6'!J77+'Draw 6'!K77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6'!H78</f>
        <v>0</v>
      </c>
      <c r="I78" s="13">
        <f t="shared" si="3"/>
        <v>0</v>
      </c>
      <c r="J78" s="13">
        <f>'Draw 6'!J78+'Draw 6'!K78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6'!H79</f>
        <v>0</v>
      </c>
      <c r="I79" s="13">
        <f t="shared" si="3"/>
        <v>0</v>
      </c>
      <c r="J79" s="13">
        <f>'Draw 6'!J79+'Draw 6'!K79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6'!H80</f>
        <v>0</v>
      </c>
      <c r="I80" s="13">
        <f t="shared" si="3"/>
        <v>0</v>
      </c>
      <c r="J80" s="13">
        <f>'Draw 6'!J80+'Draw 6'!K80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6'!H81</f>
        <v>0</v>
      </c>
      <c r="I81" s="13">
        <f t="shared" si="3"/>
        <v>0</v>
      </c>
      <c r="J81" s="13">
        <f>'Draw 6'!J81+'Draw 6'!K81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6'!H82</f>
        <v>0</v>
      </c>
      <c r="I82" s="13">
        <f t="shared" si="3"/>
        <v>0</v>
      </c>
      <c r="J82" s="13">
        <f>'Draw 6'!J82+'Draw 6'!K82</f>
        <v>0</v>
      </c>
      <c r="K82" s="14"/>
      <c r="L82" s="13">
        <f t="shared" si="4"/>
        <v>0</v>
      </c>
    </row>
    <row r="83" spans="1:12" x14ac:dyDescent="0.3">
      <c r="B83" s="79"/>
      <c r="C83" s="80"/>
      <c r="D83" s="4"/>
      <c r="E83" s="4"/>
      <c r="F83" s="12" t="s">
        <v>78</v>
      </c>
      <c r="G83" s="20">
        <f>SUM(G53:G82)+G47</f>
        <v>1268365.72</v>
      </c>
      <c r="H83" s="20">
        <f>SUM(H53:H82)+H47</f>
        <v>0</v>
      </c>
      <c r="I83" s="20">
        <f>SUM(I53:I82)+I47</f>
        <v>1268365.72</v>
      </c>
      <c r="J83" s="20">
        <f t="shared" ref="J83:L83" si="5">SUM(J53:J82)+J47</f>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227</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7'!H17</f>
        <v>18535.25</v>
      </c>
      <c r="I17" s="13">
        <f>+G17+H17</f>
        <v>641633.19999999995</v>
      </c>
      <c r="J17" s="13">
        <f>'Draw 7'!J17+'Draw 7'!K17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7'!H18</f>
        <v>0</v>
      </c>
      <c r="I18" s="13">
        <f t="shared" ref="I18:I46" si="0">+G18+H18</f>
        <v>0</v>
      </c>
      <c r="J18" s="13">
        <f>'Draw 7'!J18+'Draw 7'!K18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7'!H19</f>
        <v>15150</v>
      </c>
      <c r="I19" s="13">
        <f t="shared" si="0"/>
        <v>77526</v>
      </c>
      <c r="J19" s="13">
        <f>'Draw 7'!J19+'Draw 7'!K19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7'!H20</f>
        <v>0</v>
      </c>
      <c r="I20" s="13">
        <f t="shared" si="0"/>
        <v>15930</v>
      </c>
      <c r="J20" s="13">
        <f>'Draw 7'!J20+'Draw 7'!K20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7'!H21</f>
        <v>-15150</v>
      </c>
      <c r="I21" s="13">
        <f t="shared" si="0"/>
        <v>6592.2200000000012</v>
      </c>
      <c r="J21" s="13">
        <f>'Draw 7'!J21+'Draw 7'!K21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7'!H22</f>
        <v>0</v>
      </c>
      <c r="I22" s="13">
        <f t="shared" si="0"/>
        <v>0</v>
      </c>
      <c r="J22" s="13">
        <f>'Draw 7'!J22+'Draw 7'!K22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7'!H23</f>
        <v>0</v>
      </c>
      <c r="I23" s="13">
        <f t="shared" si="0"/>
        <v>424.4</v>
      </c>
      <c r="J23" s="13">
        <f>'Draw 7'!J23+'Draw 7'!K23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7'!H24</f>
        <v>0</v>
      </c>
      <c r="I24" s="13">
        <f t="shared" si="0"/>
        <v>47734</v>
      </c>
      <c r="J24" s="13">
        <f>'Draw 7'!J24+'Draw 7'!K24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7'!H25</f>
        <v>0</v>
      </c>
      <c r="I25" s="13">
        <f t="shared" si="0"/>
        <v>8214.5999999999985</v>
      </c>
      <c r="J25" s="13">
        <f>'Draw 7'!J25+'Draw 7'!K25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7'!H26</f>
        <v>0</v>
      </c>
      <c r="I26" s="13">
        <f t="shared" si="0"/>
        <v>0</v>
      </c>
      <c r="J26" s="13">
        <f>'Draw 7'!J26+'Draw 7'!K26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7'!H27</f>
        <v>0</v>
      </c>
      <c r="I27" s="13">
        <f t="shared" si="0"/>
        <v>0</v>
      </c>
      <c r="J27" s="13">
        <f>'Draw 7'!J27+'Draw 7'!K27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7'!H28</f>
        <v>0</v>
      </c>
      <c r="I28" s="13">
        <f t="shared" si="0"/>
        <v>0</v>
      </c>
      <c r="J28" s="13">
        <f>'Draw 7'!J28+'Draw 7'!K28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7'!H29</f>
        <v>0</v>
      </c>
      <c r="I29" s="13">
        <f t="shared" si="0"/>
        <v>800</v>
      </c>
      <c r="J29" s="13">
        <f>'Draw 7'!J29+'Draw 7'!K29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7'!H30</f>
        <v>0</v>
      </c>
      <c r="I30" s="13">
        <f t="shared" si="0"/>
        <v>2635</v>
      </c>
      <c r="J30" s="13">
        <f>'Draw 7'!J30+'Draw 7'!K30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7'!H31</f>
        <v>675</v>
      </c>
      <c r="I31" s="13">
        <f t="shared" si="0"/>
        <v>14120</v>
      </c>
      <c r="J31" s="13">
        <f>'Draw 7'!J31+'Draw 7'!K31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7'!H32</f>
        <v>0</v>
      </c>
      <c r="I32" s="13">
        <f t="shared" si="0"/>
        <v>0</v>
      </c>
      <c r="J32" s="13">
        <f>'Draw 7'!J32+'Draw 7'!K32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7'!H33</f>
        <v>0</v>
      </c>
      <c r="I33" s="13">
        <f t="shared" si="0"/>
        <v>18795</v>
      </c>
      <c r="J33" s="13">
        <f>'Draw 7'!J33+'Draw 7'!K33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7'!H34</f>
        <v>-675</v>
      </c>
      <c r="I34" s="13">
        <f t="shared" si="0"/>
        <v>17910.770000000004</v>
      </c>
      <c r="J34" s="13">
        <f>'Draw 7'!J34+'Draw 7'!K34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7'!H35</f>
        <v>0</v>
      </c>
      <c r="I35" s="13">
        <f t="shared" si="0"/>
        <v>16802</v>
      </c>
      <c r="J35" s="13">
        <f>'Draw 7'!J35+'Draw 7'!K35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7'!H36</f>
        <v>0</v>
      </c>
      <c r="I36" s="13">
        <f t="shared" si="0"/>
        <v>68518</v>
      </c>
      <c r="J36" s="13">
        <f>'Draw 7'!J36+'Draw 7'!K36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7'!H37</f>
        <v>0</v>
      </c>
      <c r="I37" s="13">
        <f t="shared" si="0"/>
        <v>0</v>
      </c>
      <c r="J37" s="13">
        <f>'Draw 7'!J37+'Draw 7'!K37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7'!H38</f>
        <v>-2172.5</v>
      </c>
      <c r="I38" s="13">
        <f t="shared" si="0"/>
        <v>2995</v>
      </c>
      <c r="J38" s="13">
        <f>'Draw 7'!J38+'Draw 7'!K38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7'!H39</f>
        <v>2172.5</v>
      </c>
      <c r="I39" s="13">
        <f t="shared" si="0"/>
        <v>17005</v>
      </c>
      <c r="J39" s="13">
        <f>'Draw 7'!J39+'Draw 7'!K39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7'!H40</f>
        <v>0</v>
      </c>
      <c r="I40" s="13">
        <f t="shared" si="0"/>
        <v>0</v>
      </c>
      <c r="J40" s="13">
        <f>'Draw 7'!J40+'Draw 7'!K40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7'!H41</f>
        <v>0</v>
      </c>
      <c r="I41" s="13">
        <f t="shared" si="0"/>
        <v>0</v>
      </c>
      <c r="J41" s="13">
        <f>'Draw 7'!J41+'Draw 7'!K41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7'!H42</f>
        <v>0</v>
      </c>
      <c r="I42" s="13">
        <f t="shared" si="0"/>
        <v>0</v>
      </c>
      <c r="J42" s="13">
        <f>'Draw 7'!J42+'Draw 7'!K42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7'!H43</f>
        <v>0</v>
      </c>
      <c r="I43" s="13">
        <f t="shared" si="0"/>
        <v>0</v>
      </c>
      <c r="J43" s="13">
        <f>'Draw 7'!J43+'Draw 7'!K43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7'!H44</f>
        <v>-18535.25</v>
      </c>
      <c r="I44" s="13">
        <f t="shared" si="0"/>
        <v>29997.1</v>
      </c>
      <c r="J44" s="13">
        <f>'Draw 7'!J44+'Draw 7'!K44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7'!H45</f>
        <v>0</v>
      </c>
      <c r="I45" s="13">
        <f t="shared" si="0"/>
        <v>46433.43</v>
      </c>
      <c r="J45" s="13">
        <f>'Draw 7'!J45+'Draw 7'!K45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7'!H46</f>
        <v>0</v>
      </c>
      <c r="I46" s="13">
        <f t="shared" si="0"/>
        <v>234300</v>
      </c>
      <c r="J46" s="13">
        <f>'Draw 7'!J46+'Draw 7'!K46</f>
        <v>234300</v>
      </c>
      <c r="K46" s="14"/>
      <c r="L46" s="13">
        <f t="shared" si="1"/>
        <v>0</v>
      </c>
    </row>
    <row r="47" spans="1:12" x14ac:dyDescent="0.3">
      <c r="B47" s="79"/>
      <c r="C47" s="80"/>
      <c r="D47" s="4"/>
      <c r="E47" s="4"/>
      <c r="F47" s="12" t="s">
        <v>61</v>
      </c>
      <c r="G47" s="20">
        <f t="shared" ref="G47:L47" si="2">SUM(G17:G46)</f>
        <v>1268365.72</v>
      </c>
      <c r="H47" s="20">
        <f t="shared" si="2"/>
        <v>0</v>
      </c>
      <c r="I47" s="20">
        <f t="shared" si="2"/>
        <v>1268365.72</v>
      </c>
      <c r="J47" s="20">
        <f t="shared" si="2"/>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7'!H53</f>
        <v>0</v>
      </c>
      <c r="I53" s="13">
        <f t="shared" ref="I53:I82" si="3">+G53+H53</f>
        <v>0</v>
      </c>
      <c r="J53" s="13">
        <f>'Draw 7'!J53+'Draw 7'!K53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7'!H54</f>
        <v>0</v>
      </c>
      <c r="I54" s="13">
        <f t="shared" si="3"/>
        <v>0</v>
      </c>
      <c r="J54" s="13">
        <f>'Draw 7'!J54+'Draw 7'!K54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7'!H55</f>
        <v>0</v>
      </c>
      <c r="I55" s="13">
        <f t="shared" si="3"/>
        <v>0</v>
      </c>
      <c r="J55" s="13">
        <f>'Draw 7'!J55+'Draw 7'!K55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7'!H56</f>
        <v>0</v>
      </c>
      <c r="I56" s="13">
        <f t="shared" si="3"/>
        <v>0</v>
      </c>
      <c r="J56" s="13">
        <f>'Draw 7'!J56+'Draw 7'!K56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7'!H57</f>
        <v>0</v>
      </c>
      <c r="I57" s="13">
        <f t="shared" si="3"/>
        <v>0</v>
      </c>
      <c r="J57" s="13">
        <f>'Draw 7'!J57+'Draw 7'!K57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7'!H58</f>
        <v>0</v>
      </c>
      <c r="I58" s="13">
        <f t="shared" si="3"/>
        <v>0</v>
      </c>
      <c r="J58" s="13">
        <f>'Draw 7'!J58+'Draw 7'!K58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7'!H59</f>
        <v>0</v>
      </c>
      <c r="I59" s="13">
        <f t="shared" si="3"/>
        <v>0</v>
      </c>
      <c r="J59" s="13">
        <f>'Draw 7'!J59+'Draw 7'!K59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7'!H60</f>
        <v>0</v>
      </c>
      <c r="I60" s="13">
        <f t="shared" si="3"/>
        <v>0</v>
      </c>
      <c r="J60" s="13">
        <f>'Draw 7'!J60+'Draw 7'!K60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7'!H61</f>
        <v>0</v>
      </c>
      <c r="I61" s="13">
        <f t="shared" si="3"/>
        <v>0</v>
      </c>
      <c r="J61" s="13">
        <f>'Draw 7'!J61+'Draw 7'!K61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7'!H62</f>
        <v>0</v>
      </c>
      <c r="I62" s="13">
        <f t="shared" si="3"/>
        <v>0</v>
      </c>
      <c r="J62" s="13">
        <f>'Draw 7'!J62+'Draw 7'!K62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7'!H63</f>
        <v>0</v>
      </c>
      <c r="I63" s="13">
        <f t="shared" si="3"/>
        <v>0</v>
      </c>
      <c r="J63" s="13">
        <f>'Draw 7'!J63+'Draw 7'!K63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7'!H64</f>
        <v>0</v>
      </c>
      <c r="I64" s="13">
        <f t="shared" si="3"/>
        <v>0</v>
      </c>
      <c r="J64" s="13">
        <f>'Draw 7'!J64+'Draw 7'!K64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7'!H65</f>
        <v>0</v>
      </c>
      <c r="I65" s="13">
        <f t="shared" si="3"/>
        <v>0</v>
      </c>
      <c r="J65" s="13">
        <f>'Draw 7'!J65+'Draw 7'!K65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7'!H66</f>
        <v>0</v>
      </c>
      <c r="I66" s="13">
        <f t="shared" si="3"/>
        <v>0</v>
      </c>
      <c r="J66" s="13">
        <f>'Draw 7'!J66+'Draw 7'!K66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7'!H67</f>
        <v>0</v>
      </c>
      <c r="I67" s="13">
        <f t="shared" si="3"/>
        <v>0</v>
      </c>
      <c r="J67" s="13">
        <f>'Draw 7'!J67+'Draw 7'!K67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7'!H68</f>
        <v>0</v>
      </c>
      <c r="I68" s="13">
        <f t="shared" si="3"/>
        <v>0</v>
      </c>
      <c r="J68" s="13">
        <f>'Draw 7'!J68+'Draw 7'!K68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7'!H69</f>
        <v>0</v>
      </c>
      <c r="I69" s="13">
        <f t="shared" si="3"/>
        <v>0</v>
      </c>
      <c r="J69" s="13">
        <f>'Draw 7'!J69+'Draw 7'!K69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7'!H70</f>
        <v>0</v>
      </c>
      <c r="I70" s="13">
        <f t="shared" si="3"/>
        <v>0</v>
      </c>
      <c r="J70" s="13">
        <f>'Draw 7'!J70+'Draw 7'!K70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7'!H71</f>
        <v>0</v>
      </c>
      <c r="I71" s="13">
        <f t="shared" si="3"/>
        <v>0</v>
      </c>
      <c r="J71" s="13">
        <f>'Draw 7'!J71+'Draw 7'!K71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7'!H72</f>
        <v>0</v>
      </c>
      <c r="I72" s="13">
        <f t="shared" si="3"/>
        <v>0</v>
      </c>
      <c r="J72" s="13">
        <f>'Draw 7'!J72+'Draw 7'!K72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7'!H73</f>
        <v>0</v>
      </c>
      <c r="I73" s="13">
        <f t="shared" si="3"/>
        <v>0</v>
      </c>
      <c r="J73" s="13">
        <f>'Draw 7'!J73+'Draw 7'!K73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7'!H74</f>
        <v>0</v>
      </c>
      <c r="I74" s="13">
        <f t="shared" si="3"/>
        <v>0</v>
      </c>
      <c r="J74" s="13">
        <f>'Draw 7'!J74+'Draw 7'!K74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7'!H75</f>
        <v>0</v>
      </c>
      <c r="I75" s="13">
        <f t="shared" si="3"/>
        <v>0</v>
      </c>
      <c r="J75" s="13">
        <f>'Draw 7'!J75+'Draw 7'!K75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7'!H76</f>
        <v>0</v>
      </c>
      <c r="I76" s="13">
        <f t="shared" si="3"/>
        <v>0</v>
      </c>
      <c r="J76" s="13">
        <f>'Draw 7'!J76+'Draw 7'!K76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7'!H77</f>
        <v>0</v>
      </c>
      <c r="I77" s="13">
        <f t="shared" si="3"/>
        <v>0</v>
      </c>
      <c r="J77" s="13">
        <f>'Draw 7'!J77+'Draw 7'!K77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7'!H78</f>
        <v>0</v>
      </c>
      <c r="I78" s="13">
        <f t="shared" si="3"/>
        <v>0</v>
      </c>
      <c r="J78" s="13">
        <f>'Draw 7'!J78+'Draw 7'!K78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7'!H79</f>
        <v>0</v>
      </c>
      <c r="I79" s="13">
        <f t="shared" si="3"/>
        <v>0</v>
      </c>
      <c r="J79" s="13">
        <f>'Draw 7'!J79+'Draw 7'!K79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7'!H80</f>
        <v>0</v>
      </c>
      <c r="I80" s="13">
        <f t="shared" si="3"/>
        <v>0</v>
      </c>
      <c r="J80" s="13">
        <f>'Draw 7'!J80+'Draw 7'!K80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7'!H81</f>
        <v>0</v>
      </c>
      <c r="I81" s="13">
        <f t="shared" si="3"/>
        <v>0</v>
      </c>
      <c r="J81" s="13">
        <f>'Draw 7'!J81+'Draw 7'!K81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7'!H82</f>
        <v>0</v>
      </c>
      <c r="I82" s="13">
        <f t="shared" si="3"/>
        <v>0</v>
      </c>
      <c r="J82" s="13">
        <f>'Draw 7'!J82+'Draw 7'!K82</f>
        <v>0</v>
      </c>
      <c r="K82" s="14"/>
      <c r="L82" s="13">
        <f t="shared" si="4"/>
        <v>0</v>
      </c>
    </row>
    <row r="83" spans="1:12" x14ac:dyDescent="0.3">
      <c r="B83" s="79"/>
      <c r="C83" s="80"/>
      <c r="D83" s="4"/>
      <c r="E83" s="4"/>
      <c r="F83" s="12" t="s">
        <v>78</v>
      </c>
      <c r="G83" s="20">
        <f t="shared" ref="G83:L83" si="5">SUM(G53:G82)+G47</f>
        <v>1268365.72</v>
      </c>
      <c r="H83" s="20">
        <f t="shared" si="5"/>
        <v>0</v>
      </c>
      <c r="I83" s="20">
        <f t="shared" si="5"/>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228</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8'!H17</f>
        <v>18535.25</v>
      </c>
      <c r="I17" s="13">
        <f>+G17+H17</f>
        <v>641633.19999999995</v>
      </c>
      <c r="J17" s="13">
        <f>'Draw 8'!J17+'Draw 8'!K17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8'!H18</f>
        <v>0</v>
      </c>
      <c r="I18" s="13">
        <f t="shared" ref="I18:I46" si="0">+G18+H18</f>
        <v>0</v>
      </c>
      <c r="J18" s="13">
        <f>'Draw 8'!J18+'Draw 8'!K18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8'!H19</f>
        <v>15150</v>
      </c>
      <c r="I19" s="13">
        <f t="shared" si="0"/>
        <v>77526</v>
      </c>
      <c r="J19" s="13">
        <f>'Draw 8'!J19+'Draw 8'!K19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8'!H20</f>
        <v>0</v>
      </c>
      <c r="I20" s="13">
        <f t="shared" si="0"/>
        <v>15930</v>
      </c>
      <c r="J20" s="13">
        <f>'Draw 8'!J20+'Draw 8'!K20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8'!H21</f>
        <v>-15150</v>
      </c>
      <c r="I21" s="13">
        <f t="shared" si="0"/>
        <v>6592.2200000000012</v>
      </c>
      <c r="J21" s="13">
        <f>'Draw 8'!J21+'Draw 8'!K21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8'!H22</f>
        <v>0</v>
      </c>
      <c r="I22" s="13">
        <f t="shared" si="0"/>
        <v>0</v>
      </c>
      <c r="J22" s="13">
        <f>'Draw 8'!J22+'Draw 8'!K22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8'!H23</f>
        <v>0</v>
      </c>
      <c r="I23" s="13">
        <f t="shared" si="0"/>
        <v>424.4</v>
      </c>
      <c r="J23" s="13">
        <f>'Draw 8'!J23+'Draw 8'!K23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8'!H24</f>
        <v>0</v>
      </c>
      <c r="I24" s="13">
        <f t="shared" si="0"/>
        <v>47734</v>
      </c>
      <c r="J24" s="13">
        <f>'Draw 8'!J24+'Draw 8'!K24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8'!H25</f>
        <v>0</v>
      </c>
      <c r="I25" s="13">
        <f t="shared" si="0"/>
        <v>8214.5999999999985</v>
      </c>
      <c r="J25" s="13">
        <f>'Draw 8'!J25+'Draw 8'!K25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8'!H26</f>
        <v>0</v>
      </c>
      <c r="I26" s="13">
        <f t="shared" si="0"/>
        <v>0</v>
      </c>
      <c r="J26" s="13">
        <f>'Draw 8'!J26+'Draw 8'!K26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8'!H27</f>
        <v>0</v>
      </c>
      <c r="I27" s="13">
        <f t="shared" si="0"/>
        <v>0</v>
      </c>
      <c r="J27" s="13">
        <f>'Draw 8'!J27+'Draw 8'!K27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8'!H28</f>
        <v>0</v>
      </c>
      <c r="I28" s="13">
        <f t="shared" si="0"/>
        <v>0</v>
      </c>
      <c r="J28" s="13">
        <f>'Draw 8'!J28+'Draw 8'!K28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8'!H29</f>
        <v>0</v>
      </c>
      <c r="I29" s="13">
        <f t="shared" si="0"/>
        <v>800</v>
      </c>
      <c r="J29" s="13">
        <f>'Draw 8'!J29+'Draw 8'!K29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8'!H30</f>
        <v>0</v>
      </c>
      <c r="I30" s="13">
        <f t="shared" si="0"/>
        <v>2635</v>
      </c>
      <c r="J30" s="13">
        <f>'Draw 8'!J30+'Draw 8'!K30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8'!H31</f>
        <v>675</v>
      </c>
      <c r="I31" s="13">
        <f t="shared" si="0"/>
        <v>14120</v>
      </c>
      <c r="J31" s="13">
        <f>'Draw 8'!J31+'Draw 8'!K31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8'!H32</f>
        <v>0</v>
      </c>
      <c r="I32" s="13">
        <f t="shared" si="0"/>
        <v>0</v>
      </c>
      <c r="J32" s="13">
        <f>'Draw 8'!J32+'Draw 8'!K32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8'!H33</f>
        <v>0</v>
      </c>
      <c r="I33" s="13">
        <f t="shared" si="0"/>
        <v>18795</v>
      </c>
      <c r="J33" s="13">
        <f>'Draw 8'!J33+'Draw 8'!K33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8'!H34</f>
        <v>-675</v>
      </c>
      <c r="I34" s="13">
        <f t="shared" si="0"/>
        <v>17910.770000000004</v>
      </c>
      <c r="J34" s="13">
        <f>'Draw 8'!J34+'Draw 8'!K34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8'!H35</f>
        <v>0</v>
      </c>
      <c r="I35" s="13">
        <f t="shared" si="0"/>
        <v>16802</v>
      </c>
      <c r="J35" s="13">
        <f>'Draw 8'!J35+'Draw 8'!K35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8'!H36</f>
        <v>0</v>
      </c>
      <c r="I36" s="13">
        <f t="shared" si="0"/>
        <v>68518</v>
      </c>
      <c r="J36" s="13">
        <f>'Draw 8'!J36+'Draw 8'!K36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8'!H37</f>
        <v>0</v>
      </c>
      <c r="I37" s="13">
        <f t="shared" si="0"/>
        <v>0</v>
      </c>
      <c r="J37" s="13">
        <f>'Draw 8'!J37+'Draw 8'!K37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8'!H38</f>
        <v>-2172.5</v>
      </c>
      <c r="I38" s="13">
        <f t="shared" si="0"/>
        <v>2995</v>
      </c>
      <c r="J38" s="13">
        <f>'Draw 8'!J38+'Draw 8'!K38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8'!H39</f>
        <v>2172.5</v>
      </c>
      <c r="I39" s="13">
        <f t="shared" si="0"/>
        <v>17005</v>
      </c>
      <c r="J39" s="13">
        <f>'Draw 8'!J39+'Draw 8'!K39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8'!H40</f>
        <v>0</v>
      </c>
      <c r="I40" s="13">
        <f t="shared" si="0"/>
        <v>0</v>
      </c>
      <c r="J40" s="13">
        <f>'Draw 8'!J40+'Draw 8'!K40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8'!H41</f>
        <v>0</v>
      </c>
      <c r="I41" s="13">
        <f t="shared" si="0"/>
        <v>0</v>
      </c>
      <c r="J41" s="13">
        <f>'Draw 8'!J41+'Draw 8'!K41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8'!H42</f>
        <v>0</v>
      </c>
      <c r="I42" s="13">
        <f t="shared" si="0"/>
        <v>0</v>
      </c>
      <c r="J42" s="13">
        <f>'Draw 8'!J42+'Draw 8'!K42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8'!H43</f>
        <v>0</v>
      </c>
      <c r="I43" s="13">
        <f t="shared" si="0"/>
        <v>0</v>
      </c>
      <c r="J43" s="13">
        <f>'Draw 8'!J43+'Draw 8'!K43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8'!H44</f>
        <v>-18535.25</v>
      </c>
      <c r="I44" s="13">
        <f t="shared" si="0"/>
        <v>29997.1</v>
      </c>
      <c r="J44" s="13">
        <f>'Draw 8'!J44+'Draw 8'!K44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8'!H45</f>
        <v>0</v>
      </c>
      <c r="I45" s="13">
        <f t="shared" si="0"/>
        <v>46433.43</v>
      </c>
      <c r="J45" s="13">
        <f>'Draw 8'!J45+'Draw 8'!K45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8'!H46</f>
        <v>0</v>
      </c>
      <c r="I46" s="13">
        <f t="shared" si="0"/>
        <v>234300</v>
      </c>
      <c r="J46" s="13">
        <f>'Draw 8'!J46+'Draw 8'!K46</f>
        <v>234300</v>
      </c>
      <c r="K46" s="14"/>
      <c r="L46" s="13">
        <f t="shared" si="1"/>
        <v>0</v>
      </c>
    </row>
    <row r="47" spans="1:12" x14ac:dyDescent="0.3">
      <c r="B47" s="79"/>
      <c r="C47" s="80"/>
      <c r="D47" s="4"/>
      <c r="E47" s="4"/>
      <c r="F47" s="12" t="s">
        <v>61</v>
      </c>
      <c r="G47" s="20">
        <f t="shared" ref="G47:L47" si="2">SUM(G17:G46)</f>
        <v>1268365.72</v>
      </c>
      <c r="H47" s="20">
        <f t="shared" si="2"/>
        <v>0</v>
      </c>
      <c r="I47" s="20">
        <f t="shared" si="2"/>
        <v>1268365.72</v>
      </c>
      <c r="J47" s="20">
        <f t="shared" si="2"/>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8'!H53</f>
        <v>0</v>
      </c>
      <c r="I53" s="13">
        <f t="shared" ref="I53:I82" si="3">+G53+H53</f>
        <v>0</v>
      </c>
      <c r="J53" s="13">
        <f>'Draw 8'!J53+'Draw 8'!K53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8'!H54</f>
        <v>0</v>
      </c>
      <c r="I54" s="13">
        <f t="shared" si="3"/>
        <v>0</v>
      </c>
      <c r="J54" s="13">
        <f>'Draw 8'!J54+'Draw 8'!K54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8'!H55</f>
        <v>0</v>
      </c>
      <c r="I55" s="13">
        <f t="shared" si="3"/>
        <v>0</v>
      </c>
      <c r="J55" s="13">
        <f>'Draw 8'!J55+'Draw 8'!K55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8'!H56</f>
        <v>0</v>
      </c>
      <c r="I56" s="13">
        <f t="shared" si="3"/>
        <v>0</v>
      </c>
      <c r="J56" s="13">
        <f>'Draw 8'!J56+'Draw 8'!K56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8'!H57</f>
        <v>0</v>
      </c>
      <c r="I57" s="13">
        <f t="shared" si="3"/>
        <v>0</v>
      </c>
      <c r="J57" s="13">
        <f>'Draw 8'!J57+'Draw 8'!K57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8'!H58</f>
        <v>0</v>
      </c>
      <c r="I58" s="13">
        <f t="shared" si="3"/>
        <v>0</v>
      </c>
      <c r="J58" s="13">
        <f>'Draw 8'!J58+'Draw 8'!K58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8'!H59</f>
        <v>0</v>
      </c>
      <c r="I59" s="13">
        <f t="shared" si="3"/>
        <v>0</v>
      </c>
      <c r="J59" s="13">
        <f>'Draw 8'!J59+'Draw 8'!K59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8'!H60</f>
        <v>0</v>
      </c>
      <c r="I60" s="13">
        <f t="shared" si="3"/>
        <v>0</v>
      </c>
      <c r="J60" s="13">
        <f>'Draw 8'!J60+'Draw 8'!K60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8'!H61</f>
        <v>0</v>
      </c>
      <c r="I61" s="13">
        <f t="shared" si="3"/>
        <v>0</v>
      </c>
      <c r="J61" s="13">
        <f>'Draw 8'!J61+'Draw 8'!K61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8'!H62</f>
        <v>0</v>
      </c>
      <c r="I62" s="13">
        <f t="shared" si="3"/>
        <v>0</v>
      </c>
      <c r="J62" s="13">
        <f>'Draw 8'!J62+'Draw 8'!K62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8'!H63</f>
        <v>0</v>
      </c>
      <c r="I63" s="13">
        <f t="shared" si="3"/>
        <v>0</v>
      </c>
      <c r="J63" s="13">
        <f>'Draw 8'!J63+'Draw 8'!K63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8'!H64</f>
        <v>0</v>
      </c>
      <c r="I64" s="13">
        <f t="shared" si="3"/>
        <v>0</v>
      </c>
      <c r="J64" s="13">
        <f>'Draw 8'!J64+'Draw 8'!K64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8'!H65</f>
        <v>0</v>
      </c>
      <c r="I65" s="13">
        <f t="shared" si="3"/>
        <v>0</v>
      </c>
      <c r="J65" s="13">
        <f>'Draw 8'!J65+'Draw 8'!K65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8'!H66</f>
        <v>0</v>
      </c>
      <c r="I66" s="13">
        <f t="shared" si="3"/>
        <v>0</v>
      </c>
      <c r="J66" s="13">
        <f>'Draw 8'!J66+'Draw 8'!K66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8'!H67</f>
        <v>0</v>
      </c>
      <c r="I67" s="13">
        <f t="shared" si="3"/>
        <v>0</v>
      </c>
      <c r="J67" s="13">
        <f>'Draw 8'!J67+'Draw 8'!K67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8'!H68</f>
        <v>0</v>
      </c>
      <c r="I68" s="13">
        <f t="shared" si="3"/>
        <v>0</v>
      </c>
      <c r="J68" s="13">
        <f>'Draw 8'!J68+'Draw 8'!K68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8'!H69</f>
        <v>0</v>
      </c>
      <c r="I69" s="13">
        <f t="shared" si="3"/>
        <v>0</v>
      </c>
      <c r="J69" s="13">
        <f>'Draw 8'!J69+'Draw 8'!K69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8'!H70</f>
        <v>0</v>
      </c>
      <c r="I70" s="13">
        <f t="shared" si="3"/>
        <v>0</v>
      </c>
      <c r="J70" s="13">
        <f>'Draw 8'!J70+'Draw 8'!K70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8'!H71</f>
        <v>0</v>
      </c>
      <c r="I71" s="13">
        <f t="shared" si="3"/>
        <v>0</v>
      </c>
      <c r="J71" s="13">
        <f>'Draw 8'!J71+'Draw 8'!K71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8'!H72</f>
        <v>0</v>
      </c>
      <c r="I72" s="13">
        <f t="shared" si="3"/>
        <v>0</v>
      </c>
      <c r="J72" s="13">
        <f>'Draw 8'!J72+'Draw 8'!K72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8'!H73</f>
        <v>0</v>
      </c>
      <c r="I73" s="13">
        <f t="shared" si="3"/>
        <v>0</v>
      </c>
      <c r="J73" s="13">
        <f>'Draw 8'!J73+'Draw 8'!K73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8'!H74</f>
        <v>0</v>
      </c>
      <c r="I74" s="13">
        <f t="shared" si="3"/>
        <v>0</v>
      </c>
      <c r="J74" s="13">
        <f>'Draw 8'!J74+'Draw 8'!K74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8'!H75</f>
        <v>0</v>
      </c>
      <c r="I75" s="13">
        <f t="shared" si="3"/>
        <v>0</v>
      </c>
      <c r="J75" s="13">
        <f>'Draw 8'!J75+'Draw 8'!K75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8'!H76</f>
        <v>0</v>
      </c>
      <c r="I76" s="13">
        <f t="shared" si="3"/>
        <v>0</v>
      </c>
      <c r="J76" s="13">
        <f>'Draw 8'!J76+'Draw 8'!K76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8'!H77</f>
        <v>0</v>
      </c>
      <c r="I77" s="13">
        <f t="shared" si="3"/>
        <v>0</v>
      </c>
      <c r="J77" s="13">
        <f>'Draw 8'!J77+'Draw 8'!K77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8'!H78</f>
        <v>0</v>
      </c>
      <c r="I78" s="13">
        <f t="shared" si="3"/>
        <v>0</v>
      </c>
      <c r="J78" s="13">
        <f>'Draw 8'!J78+'Draw 8'!K78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8'!H79</f>
        <v>0</v>
      </c>
      <c r="I79" s="13">
        <f t="shared" si="3"/>
        <v>0</v>
      </c>
      <c r="J79" s="13">
        <f>'Draw 8'!J79+'Draw 8'!K79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8'!H80</f>
        <v>0</v>
      </c>
      <c r="I80" s="13">
        <f t="shared" si="3"/>
        <v>0</v>
      </c>
      <c r="J80" s="13">
        <f>'Draw 8'!J80+'Draw 8'!K80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8'!H81</f>
        <v>0</v>
      </c>
      <c r="I81" s="13">
        <f t="shared" si="3"/>
        <v>0</v>
      </c>
      <c r="J81" s="13">
        <f>'Draw 8'!J81+'Draw 8'!K81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8'!H82</f>
        <v>0</v>
      </c>
      <c r="I82" s="13">
        <f t="shared" si="3"/>
        <v>0</v>
      </c>
      <c r="J82" s="13">
        <f>'Draw 8'!J82+'Draw 8'!K82</f>
        <v>0</v>
      </c>
      <c r="K82" s="14"/>
      <c r="L82" s="13">
        <f t="shared" si="4"/>
        <v>0</v>
      </c>
    </row>
    <row r="83" spans="1:12" x14ac:dyDescent="0.3">
      <c r="B83" s="79"/>
      <c r="C83" s="80"/>
      <c r="D83" s="4"/>
      <c r="E83" s="4"/>
      <c r="F83" s="12" t="s">
        <v>78</v>
      </c>
      <c r="G83" s="20">
        <f t="shared" ref="G83:L83" si="5">SUM(G53:G82)+G47</f>
        <v>1268365.72</v>
      </c>
      <c r="H83" s="20">
        <f t="shared" si="5"/>
        <v>0</v>
      </c>
      <c r="I83" s="20">
        <f t="shared" si="5"/>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229</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9'!H17</f>
        <v>18535.25</v>
      </c>
      <c r="I17" s="13">
        <f>+G17+H17</f>
        <v>641633.19999999995</v>
      </c>
      <c r="J17" s="13">
        <f>'Draw 9'!J17+'Draw 9'!K17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9'!H18</f>
        <v>0</v>
      </c>
      <c r="I18" s="13">
        <f t="shared" ref="I18:I46" si="0">+G18+H18</f>
        <v>0</v>
      </c>
      <c r="J18" s="13">
        <f>'Draw 9'!J18+'Draw 9'!K18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9'!H19</f>
        <v>15150</v>
      </c>
      <c r="I19" s="13">
        <f t="shared" si="0"/>
        <v>77526</v>
      </c>
      <c r="J19" s="13">
        <f>'Draw 9'!J19+'Draw 9'!K19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9'!H20</f>
        <v>0</v>
      </c>
      <c r="I20" s="13">
        <f t="shared" si="0"/>
        <v>15930</v>
      </c>
      <c r="J20" s="13">
        <f>'Draw 9'!J20+'Draw 9'!K20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9'!H21</f>
        <v>-15150</v>
      </c>
      <c r="I21" s="13">
        <f t="shared" si="0"/>
        <v>6592.2200000000012</v>
      </c>
      <c r="J21" s="13">
        <f>'Draw 9'!J21+'Draw 9'!K21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9'!H22</f>
        <v>0</v>
      </c>
      <c r="I22" s="13">
        <f t="shared" si="0"/>
        <v>0</v>
      </c>
      <c r="J22" s="13">
        <f>'Draw 9'!J22+'Draw 9'!K22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9'!H23</f>
        <v>0</v>
      </c>
      <c r="I23" s="13">
        <f t="shared" si="0"/>
        <v>424.4</v>
      </c>
      <c r="J23" s="13">
        <f>'Draw 9'!J23+'Draw 9'!K23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9'!H24</f>
        <v>0</v>
      </c>
      <c r="I24" s="13">
        <f t="shared" si="0"/>
        <v>47734</v>
      </c>
      <c r="J24" s="13">
        <f>'Draw 9'!J24+'Draw 9'!K24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9'!H25</f>
        <v>0</v>
      </c>
      <c r="I25" s="13">
        <f t="shared" si="0"/>
        <v>8214.5999999999985</v>
      </c>
      <c r="J25" s="13">
        <f>'Draw 9'!J25+'Draw 9'!K25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9'!H26</f>
        <v>0</v>
      </c>
      <c r="I26" s="13">
        <f t="shared" si="0"/>
        <v>0</v>
      </c>
      <c r="J26" s="13">
        <f>'Draw 9'!J26+'Draw 9'!K26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9'!H27</f>
        <v>0</v>
      </c>
      <c r="I27" s="13">
        <f t="shared" si="0"/>
        <v>0</v>
      </c>
      <c r="J27" s="13">
        <f>'Draw 9'!J27+'Draw 9'!K27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9'!H28</f>
        <v>0</v>
      </c>
      <c r="I28" s="13">
        <f t="shared" si="0"/>
        <v>0</v>
      </c>
      <c r="J28" s="13">
        <f>'Draw 9'!J28+'Draw 9'!K28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9'!H29</f>
        <v>0</v>
      </c>
      <c r="I29" s="13">
        <f t="shared" si="0"/>
        <v>800</v>
      </c>
      <c r="J29" s="13">
        <f>'Draw 9'!J29+'Draw 9'!K29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9'!H30</f>
        <v>0</v>
      </c>
      <c r="I30" s="13">
        <f t="shared" si="0"/>
        <v>2635</v>
      </c>
      <c r="J30" s="13">
        <f>'Draw 9'!J30+'Draw 9'!K30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9'!H31</f>
        <v>675</v>
      </c>
      <c r="I31" s="13">
        <f t="shared" si="0"/>
        <v>14120</v>
      </c>
      <c r="J31" s="13">
        <f>'Draw 9'!J31+'Draw 9'!K31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9'!H32</f>
        <v>0</v>
      </c>
      <c r="I32" s="13">
        <f t="shared" si="0"/>
        <v>0</v>
      </c>
      <c r="J32" s="13">
        <f>'Draw 9'!J32+'Draw 9'!K32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9'!H33</f>
        <v>0</v>
      </c>
      <c r="I33" s="13">
        <f t="shared" si="0"/>
        <v>18795</v>
      </c>
      <c r="J33" s="13">
        <f>'Draw 9'!J33+'Draw 9'!K33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9'!H34</f>
        <v>-675</v>
      </c>
      <c r="I34" s="13">
        <f t="shared" si="0"/>
        <v>17910.770000000004</v>
      </c>
      <c r="J34" s="13">
        <f>'Draw 9'!J34+'Draw 9'!K34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9'!H35</f>
        <v>0</v>
      </c>
      <c r="I35" s="13">
        <f t="shared" si="0"/>
        <v>16802</v>
      </c>
      <c r="J35" s="13">
        <f>'Draw 9'!J35+'Draw 9'!K35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9'!H36</f>
        <v>0</v>
      </c>
      <c r="I36" s="13">
        <f t="shared" si="0"/>
        <v>68518</v>
      </c>
      <c r="J36" s="13">
        <f>'Draw 9'!J36+'Draw 9'!K36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9'!H37</f>
        <v>0</v>
      </c>
      <c r="I37" s="13">
        <f t="shared" si="0"/>
        <v>0</v>
      </c>
      <c r="J37" s="13">
        <f>'Draw 9'!J37+'Draw 9'!K37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9'!H38</f>
        <v>-2172.5</v>
      </c>
      <c r="I38" s="13">
        <f t="shared" si="0"/>
        <v>2995</v>
      </c>
      <c r="J38" s="13">
        <f>'Draw 9'!J38+'Draw 9'!K38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9'!H39</f>
        <v>2172.5</v>
      </c>
      <c r="I39" s="13">
        <f t="shared" si="0"/>
        <v>17005</v>
      </c>
      <c r="J39" s="13">
        <f>'Draw 9'!J39+'Draw 9'!K39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9'!H40</f>
        <v>0</v>
      </c>
      <c r="I40" s="13">
        <f t="shared" si="0"/>
        <v>0</v>
      </c>
      <c r="J40" s="13">
        <f>'Draw 9'!J40+'Draw 9'!K40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9'!H41</f>
        <v>0</v>
      </c>
      <c r="I41" s="13">
        <f t="shared" si="0"/>
        <v>0</v>
      </c>
      <c r="J41" s="13">
        <f>'Draw 9'!J41+'Draw 9'!K41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9'!H42</f>
        <v>0</v>
      </c>
      <c r="I42" s="13">
        <f t="shared" si="0"/>
        <v>0</v>
      </c>
      <c r="J42" s="13">
        <f>'Draw 9'!J42+'Draw 9'!K42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9'!H43</f>
        <v>0</v>
      </c>
      <c r="I43" s="13">
        <f t="shared" si="0"/>
        <v>0</v>
      </c>
      <c r="J43" s="13">
        <f>'Draw 9'!J43+'Draw 9'!K43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9'!H44</f>
        <v>-18535.25</v>
      </c>
      <c r="I44" s="13">
        <f t="shared" si="0"/>
        <v>29997.1</v>
      </c>
      <c r="J44" s="13">
        <f>'Draw 9'!J44+'Draw 9'!K44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9'!H45</f>
        <v>0</v>
      </c>
      <c r="I45" s="13">
        <f t="shared" si="0"/>
        <v>46433.43</v>
      </c>
      <c r="J45" s="13">
        <f>'Draw 9'!J45+'Draw 9'!K45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9'!H46</f>
        <v>0</v>
      </c>
      <c r="I46" s="13">
        <f t="shared" si="0"/>
        <v>234300</v>
      </c>
      <c r="J46" s="13">
        <f>'Draw 9'!J46+'Draw 9'!K46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9'!H53</f>
        <v>0</v>
      </c>
      <c r="I53" s="13">
        <f t="shared" ref="I53:I82" si="3">+G53+H53</f>
        <v>0</v>
      </c>
      <c r="J53" s="13">
        <f>'Draw 9'!J53+'Draw 9'!K53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9'!H54</f>
        <v>0</v>
      </c>
      <c r="I54" s="13">
        <f t="shared" si="3"/>
        <v>0</v>
      </c>
      <c r="J54" s="13">
        <f>'Draw 9'!J54+'Draw 9'!K54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9'!H55</f>
        <v>0</v>
      </c>
      <c r="I55" s="13">
        <f t="shared" si="3"/>
        <v>0</v>
      </c>
      <c r="J55" s="13">
        <f>'Draw 9'!J55+'Draw 9'!K55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9'!H56</f>
        <v>0</v>
      </c>
      <c r="I56" s="13">
        <f t="shared" si="3"/>
        <v>0</v>
      </c>
      <c r="J56" s="13">
        <f>'Draw 9'!J56+'Draw 9'!K56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9'!H57</f>
        <v>0</v>
      </c>
      <c r="I57" s="13">
        <f t="shared" si="3"/>
        <v>0</v>
      </c>
      <c r="J57" s="13">
        <f>'Draw 9'!J57+'Draw 9'!K57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9'!H58</f>
        <v>0</v>
      </c>
      <c r="I58" s="13">
        <f t="shared" si="3"/>
        <v>0</v>
      </c>
      <c r="J58" s="13">
        <f>'Draw 9'!J58+'Draw 9'!K58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9'!H59</f>
        <v>0</v>
      </c>
      <c r="I59" s="13">
        <f t="shared" si="3"/>
        <v>0</v>
      </c>
      <c r="J59" s="13">
        <f>'Draw 9'!J59+'Draw 9'!K59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9'!H60</f>
        <v>0</v>
      </c>
      <c r="I60" s="13">
        <f t="shared" si="3"/>
        <v>0</v>
      </c>
      <c r="J60" s="13">
        <f>'Draw 9'!J60+'Draw 9'!K60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9'!H61</f>
        <v>0</v>
      </c>
      <c r="I61" s="13">
        <f t="shared" si="3"/>
        <v>0</v>
      </c>
      <c r="J61" s="13">
        <f>'Draw 9'!J61+'Draw 9'!K61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9'!H62</f>
        <v>0</v>
      </c>
      <c r="I62" s="13">
        <f t="shared" si="3"/>
        <v>0</v>
      </c>
      <c r="J62" s="13">
        <f>'Draw 9'!J62+'Draw 9'!K62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9'!H63</f>
        <v>0</v>
      </c>
      <c r="I63" s="13">
        <f t="shared" si="3"/>
        <v>0</v>
      </c>
      <c r="J63" s="13">
        <f>'Draw 9'!J63+'Draw 9'!K63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9'!H64</f>
        <v>0</v>
      </c>
      <c r="I64" s="13">
        <f t="shared" si="3"/>
        <v>0</v>
      </c>
      <c r="J64" s="13">
        <f>'Draw 9'!J64+'Draw 9'!K64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9'!H65</f>
        <v>0</v>
      </c>
      <c r="I65" s="13">
        <f t="shared" si="3"/>
        <v>0</v>
      </c>
      <c r="J65" s="13">
        <f>'Draw 9'!J65+'Draw 9'!K65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9'!H66</f>
        <v>0</v>
      </c>
      <c r="I66" s="13">
        <f t="shared" si="3"/>
        <v>0</v>
      </c>
      <c r="J66" s="13">
        <f>'Draw 9'!J66+'Draw 9'!K66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9'!H67</f>
        <v>0</v>
      </c>
      <c r="I67" s="13">
        <f t="shared" si="3"/>
        <v>0</v>
      </c>
      <c r="J67" s="13">
        <f>'Draw 9'!J67+'Draw 9'!K67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9'!H68</f>
        <v>0</v>
      </c>
      <c r="I68" s="13">
        <f t="shared" si="3"/>
        <v>0</v>
      </c>
      <c r="J68" s="13">
        <f>'Draw 9'!J68+'Draw 9'!K68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9'!H69</f>
        <v>0</v>
      </c>
      <c r="I69" s="13">
        <f t="shared" si="3"/>
        <v>0</v>
      </c>
      <c r="J69" s="13">
        <f>'Draw 9'!J69+'Draw 9'!K69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9'!H70</f>
        <v>0</v>
      </c>
      <c r="I70" s="13">
        <f t="shared" si="3"/>
        <v>0</v>
      </c>
      <c r="J70" s="13">
        <f>'Draw 9'!J70+'Draw 9'!K70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9'!H71</f>
        <v>0</v>
      </c>
      <c r="I71" s="13">
        <f t="shared" si="3"/>
        <v>0</v>
      </c>
      <c r="J71" s="13">
        <f>'Draw 9'!J71+'Draw 9'!K71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9'!H72</f>
        <v>0</v>
      </c>
      <c r="I72" s="13">
        <f t="shared" si="3"/>
        <v>0</v>
      </c>
      <c r="J72" s="13">
        <f>'Draw 9'!J72+'Draw 9'!K72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9'!H73</f>
        <v>0</v>
      </c>
      <c r="I73" s="13">
        <f t="shared" si="3"/>
        <v>0</v>
      </c>
      <c r="J73" s="13">
        <f>'Draw 9'!J73+'Draw 9'!K73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9'!H74</f>
        <v>0</v>
      </c>
      <c r="I74" s="13">
        <f t="shared" si="3"/>
        <v>0</v>
      </c>
      <c r="J74" s="13">
        <f>'Draw 9'!J74+'Draw 9'!K74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9'!H75</f>
        <v>0</v>
      </c>
      <c r="I75" s="13">
        <f t="shared" si="3"/>
        <v>0</v>
      </c>
      <c r="J75" s="13">
        <f>'Draw 9'!J75+'Draw 9'!K75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9'!H76</f>
        <v>0</v>
      </c>
      <c r="I76" s="13">
        <f t="shared" si="3"/>
        <v>0</v>
      </c>
      <c r="J76" s="13">
        <f>'Draw 9'!J76+'Draw 9'!K76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9'!H77</f>
        <v>0</v>
      </c>
      <c r="I77" s="13">
        <f t="shared" si="3"/>
        <v>0</v>
      </c>
      <c r="J77" s="13">
        <f>'Draw 9'!J77+'Draw 9'!K77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9'!H78</f>
        <v>0</v>
      </c>
      <c r="I78" s="13">
        <f t="shared" si="3"/>
        <v>0</v>
      </c>
      <c r="J78" s="13">
        <f>'Draw 9'!J78+'Draw 9'!K78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9'!H79</f>
        <v>0</v>
      </c>
      <c r="I79" s="13">
        <f t="shared" si="3"/>
        <v>0</v>
      </c>
      <c r="J79" s="13">
        <f>'Draw 9'!J79+'Draw 9'!K79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9'!H80</f>
        <v>0</v>
      </c>
      <c r="I80" s="13">
        <f t="shared" si="3"/>
        <v>0</v>
      </c>
      <c r="J80" s="13">
        <f>'Draw 9'!J80+'Draw 9'!K80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9'!H81</f>
        <v>0</v>
      </c>
      <c r="I81" s="13">
        <f t="shared" si="3"/>
        <v>0</v>
      </c>
      <c r="J81" s="13">
        <f>'Draw 9'!J81+'Draw 9'!K81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9'!H82</f>
        <v>0</v>
      </c>
      <c r="I82" s="13">
        <f t="shared" si="3"/>
        <v>0</v>
      </c>
      <c r="J82" s="13">
        <f>'Draw 9'!J82+'Draw 9'!K82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230</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10'!H17</f>
        <v>18535.25</v>
      </c>
      <c r="I17" s="13">
        <f>+G17+H17</f>
        <v>641633.19999999995</v>
      </c>
      <c r="J17" s="13">
        <f>'Draw 10'!J17+'Draw 10'!K17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10'!H18</f>
        <v>0</v>
      </c>
      <c r="I18" s="13">
        <f t="shared" ref="I18:I46" si="0">+G18+H18</f>
        <v>0</v>
      </c>
      <c r="J18" s="13">
        <f>'Draw 10'!J18+'Draw 10'!K18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10'!H19</f>
        <v>15150</v>
      </c>
      <c r="I19" s="13">
        <f t="shared" si="0"/>
        <v>77526</v>
      </c>
      <c r="J19" s="13">
        <f>'Draw 10'!J19+'Draw 10'!K19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10'!H20</f>
        <v>0</v>
      </c>
      <c r="I20" s="13">
        <f t="shared" si="0"/>
        <v>15930</v>
      </c>
      <c r="J20" s="13">
        <f>'Draw 10'!J20+'Draw 10'!K20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10'!H21</f>
        <v>-15150</v>
      </c>
      <c r="I21" s="13">
        <f t="shared" si="0"/>
        <v>6592.2200000000012</v>
      </c>
      <c r="J21" s="13">
        <f>'Draw 10'!J21+'Draw 10'!K21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10'!H22</f>
        <v>0</v>
      </c>
      <c r="I22" s="13">
        <f t="shared" si="0"/>
        <v>0</v>
      </c>
      <c r="J22" s="13">
        <f>'Draw 10'!J22+'Draw 10'!K22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10'!H23</f>
        <v>0</v>
      </c>
      <c r="I23" s="13">
        <f t="shared" si="0"/>
        <v>424.4</v>
      </c>
      <c r="J23" s="13">
        <f>'Draw 10'!J23+'Draw 10'!K23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10'!H24</f>
        <v>0</v>
      </c>
      <c r="I24" s="13">
        <f t="shared" si="0"/>
        <v>47734</v>
      </c>
      <c r="J24" s="13">
        <f>'Draw 10'!J24+'Draw 10'!K24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10'!H25</f>
        <v>0</v>
      </c>
      <c r="I25" s="13">
        <f t="shared" si="0"/>
        <v>8214.5999999999985</v>
      </c>
      <c r="J25" s="13">
        <f>'Draw 10'!J25+'Draw 10'!K25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10'!H26</f>
        <v>0</v>
      </c>
      <c r="I26" s="13">
        <f t="shared" si="0"/>
        <v>0</v>
      </c>
      <c r="J26" s="13">
        <f>'Draw 10'!J26+'Draw 10'!K26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10'!H27</f>
        <v>0</v>
      </c>
      <c r="I27" s="13">
        <f t="shared" si="0"/>
        <v>0</v>
      </c>
      <c r="J27" s="13">
        <f>'Draw 10'!J27+'Draw 10'!K27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10'!H28</f>
        <v>0</v>
      </c>
      <c r="I28" s="13">
        <f t="shared" si="0"/>
        <v>0</v>
      </c>
      <c r="J28" s="13">
        <f>'Draw 10'!J28+'Draw 10'!K28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10'!H29</f>
        <v>0</v>
      </c>
      <c r="I29" s="13">
        <f t="shared" si="0"/>
        <v>800</v>
      </c>
      <c r="J29" s="13">
        <f>'Draw 10'!J29+'Draw 10'!K29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10'!H30</f>
        <v>0</v>
      </c>
      <c r="I30" s="13">
        <f t="shared" si="0"/>
        <v>2635</v>
      </c>
      <c r="J30" s="13">
        <f>'Draw 10'!J30+'Draw 10'!K30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10'!H31</f>
        <v>675</v>
      </c>
      <c r="I31" s="13">
        <f t="shared" si="0"/>
        <v>14120</v>
      </c>
      <c r="J31" s="13">
        <f>'Draw 10'!J31+'Draw 10'!K31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10'!H32</f>
        <v>0</v>
      </c>
      <c r="I32" s="13">
        <f t="shared" si="0"/>
        <v>0</v>
      </c>
      <c r="J32" s="13">
        <f>'Draw 10'!J32+'Draw 10'!K32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10'!H33</f>
        <v>0</v>
      </c>
      <c r="I33" s="13">
        <f t="shared" si="0"/>
        <v>18795</v>
      </c>
      <c r="J33" s="13">
        <f>'Draw 10'!J33+'Draw 10'!K33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10'!H34</f>
        <v>-675</v>
      </c>
      <c r="I34" s="13">
        <f t="shared" si="0"/>
        <v>17910.770000000004</v>
      </c>
      <c r="J34" s="13">
        <f>'Draw 10'!J34+'Draw 10'!K34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10'!H35</f>
        <v>0</v>
      </c>
      <c r="I35" s="13">
        <f t="shared" si="0"/>
        <v>16802</v>
      </c>
      <c r="J35" s="13">
        <f>'Draw 10'!J35+'Draw 10'!K35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10'!H36</f>
        <v>0</v>
      </c>
      <c r="I36" s="13">
        <f t="shared" si="0"/>
        <v>68518</v>
      </c>
      <c r="J36" s="13">
        <f>'Draw 10'!J36+'Draw 10'!K36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10'!H37</f>
        <v>0</v>
      </c>
      <c r="I37" s="13">
        <f t="shared" si="0"/>
        <v>0</v>
      </c>
      <c r="J37" s="13">
        <f>'Draw 10'!J37+'Draw 10'!K37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10'!H38</f>
        <v>-2172.5</v>
      </c>
      <c r="I38" s="13">
        <f t="shared" si="0"/>
        <v>2995</v>
      </c>
      <c r="J38" s="13">
        <f>'Draw 10'!J38+'Draw 10'!K38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10'!H39</f>
        <v>2172.5</v>
      </c>
      <c r="I39" s="13">
        <f t="shared" si="0"/>
        <v>17005</v>
      </c>
      <c r="J39" s="13">
        <f>'Draw 10'!J39+'Draw 10'!K39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10'!H40</f>
        <v>0</v>
      </c>
      <c r="I40" s="13">
        <f t="shared" si="0"/>
        <v>0</v>
      </c>
      <c r="J40" s="13">
        <f>'Draw 10'!J40+'Draw 10'!K40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10'!H41</f>
        <v>0</v>
      </c>
      <c r="I41" s="13">
        <f t="shared" si="0"/>
        <v>0</v>
      </c>
      <c r="J41" s="13">
        <f>'Draw 10'!J41+'Draw 10'!K41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10'!H42</f>
        <v>0</v>
      </c>
      <c r="I42" s="13">
        <f t="shared" si="0"/>
        <v>0</v>
      </c>
      <c r="J42" s="13">
        <f>'Draw 10'!J42+'Draw 10'!K42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10'!H43</f>
        <v>0</v>
      </c>
      <c r="I43" s="13">
        <f t="shared" si="0"/>
        <v>0</v>
      </c>
      <c r="J43" s="13">
        <f>'Draw 10'!J43+'Draw 10'!K43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10'!H44</f>
        <v>-18535.25</v>
      </c>
      <c r="I44" s="13">
        <f t="shared" si="0"/>
        <v>29997.1</v>
      </c>
      <c r="J44" s="13">
        <f>'Draw 10'!J44+'Draw 10'!K44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10'!H45</f>
        <v>0</v>
      </c>
      <c r="I45" s="13">
        <f t="shared" si="0"/>
        <v>46433.43</v>
      </c>
      <c r="J45" s="13">
        <f>'Draw 10'!J45+'Draw 10'!K45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10'!H46</f>
        <v>0</v>
      </c>
      <c r="I46" s="13">
        <f t="shared" si="0"/>
        <v>234300</v>
      </c>
      <c r="J46" s="13">
        <f>'Draw 10'!J46+'Draw 10'!K46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tr">
        <f>IF(Master!$B52=0,"",Master!$B52)</f>
        <v>Name of Subcontractor, Supplier or Laborer</v>
      </c>
      <c r="C52" s="65"/>
      <c r="D52" s="5" t="str">
        <f>IF(Master!$D52=0,"",Master!$D52)</f>
        <v>Address of Subcontractor, Supplier or Laborer</v>
      </c>
      <c r="E52" s="1" t="str">
        <f>IF(Master!$E52=0,"",Master!$E52)</f>
        <v>Telephone #</v>
      </c>
      <c r="F52" s="2" t="str">
        <f>IF(Master!$F52=0,"",Master!$F52)</f>
        <v>Type of Improvement Furnished</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10'!H53</f>
        <v>0</v>
      </c>
      <c r="I53" s="13">
        <f t="shared" ref="I53:I82" si="3">+G53+H53</f>
        <v>0</v>
      </c>
      <c r="J53" s="13">
        <f>'Draw 10'!J53+'Draw 10'!K53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10'!H54</f>
        <v>0</v>
      </c>
      <c r="I54" s="13">
        <f t="shared" si="3"/>
        <v>0</v>
      </c>
      <c r="J54" s="13">
        <f>'Draw 10'!J54+'Draw 10'!K54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10'!H55</f>
        <v>0</v>
      </c>
      <c r="I55" s="13">
        <f t="shared" si="3"/>
        <v>0</v>
      </c>
      <c r="J55" s="13">
        <f>'Draw 10'!J55+'Draw 10'!K55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10'!H56</f>
        <v>0</v>
      </c>
      <c r="I56" s="13">
        <f t="shared" si="3"/>
        <v>0</v>
      </c>
      <c r="J56" s="13">
        <f>'Draw 10'!J56+'Draw 10'!K56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10'!H57</f>
        <v>0</v>
      </c>
      <c r="I57" s="13">
        <f t="shared" si="3"/>
        <v>0</v>
      </c>
      <c r="J57" s="13">
        <f>'Draw 10'!J57+'Draw 10'!K57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10'!H58</f>
        <v>0</v>
      </c>
      <c r="I58" s="13">
        <f t="shared" si="3"/>
        <v>0</v>
      </c>
      <c r="J58" s="13">
        <f>'Draw 10'!J58+'Draw 10'!K58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10'!H59</f>
        <v>0</v>
      </c>
      <c r="I59" s="13">
        <f t="shared" si="3"/>
        <v>0</v>
      </c>
      <c r="J59" s="13">
        <f>'Draw 10'!J59+'Draw 10'!K59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10'!H60</f>
        <v>0</v>
      </c>
      <c r="I60" s="13">
        <f t="shared" si="3"/>
        <v>0</v>
      </c>
      <c r="J60" s="13">
        <f>'Draw 10'!J60+'Draw 10'!K60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10'!H61</f>
        <v>0</v>
      </c>
      <c r="I61" s="13">
        <f t="shared" si="3"/>
        <v>0</v>
      </c>
      <c r="J61" s="13">
        <f>'Draw 10'!J61+'Draw 10'!K61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10'!H62</f>
        <v>0</v>
      </c>
      <c r="I62" s="13">
        <f t="shared" si="3"/>
        <v>0</v>
      </c>
      <c r="J62" s="13">
        <f>'Draw 10'!J62+'Draw 10'!K62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10'!H63</f>
        <v>0</v>
      </c>
      <c r="I63" s="13">
        <f t="shared" si="3"/>
        <v>0</v>
      </c>
      <c r="J63" s="13">
        <f>'Draw 10'!J63+'Draw 10'!K63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10'!H64</f>
        <v>0</v>
      </c>
      <c r="I64" s="13">
        <f t="shared" si="3"/>
        <v>0</v>
      </c>
      <c r="J64" s="13">
        <f>'Draw 10'!J64+'Draw 10'!K64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10'!H65</f>
        <v>0</v>
      </c>
      <c r="I65" s="13">
        <f t="shared" si="3"/>
        <v>0</v>
      </c>
      <c r="J65" s="13">
        <f>'Draw 10'!J65+'Draw 10'!K65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10'!H66</f>
        <v>0</v>
      </c>
      <c r="I66" s="13">
        <f t="shared" si="3"/>
        <v>0</v>
      </c>
      <c r="J66" s="13">
        <f>'Draw 10'!J66+'Draw 10'!K66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10'!H67</f>
        <v>0</v>
      </c>
      <c r="I67" s="13">
        <f t="shared" si="3"/>
        <v>0</v>
      </c>
      <c r="J67" s="13">
        <f>'Draw 10'!J67+'Draw 10'!K67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10'!H68</f>
        <v>0</v>
      </c>
      <c r="I68" s="13">
        <f t="shared" si="3"/>
        <v>0</v>
      </c>
      <c r="J68" s="13">
        <f>'Draw 10'!J68+'Draw 10'!K68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10'!H69</f>
        <v>0</v>
      </c>
      <c r="I69" s="13">
        <f t="shared" si="3"/>
        <v>0</v>
      </c>
      <c r="J69" s="13">
        <f>'Draw 10'!J69+'Draw 10'!K69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10'!H70</f>
        <v>0</v>
      </c>
      <c r="I70" s="13">
        <f t="shared" si="3"/>
        <v>0</v>
      </c>
      <c r="J70" s="13">
        <f>'Draw 10'!J70+'Draw 10'!K70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10'!H71</f>
        <v>0</v>
      </c>
      <c r="I71" s="13">
        <f t="shared" si="3"/>
        <v>0</v>
      </c>
      <c r="J71" s="13">
        <f>'Draw 10'!J71+'Draw 10'!K71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10'!H72</f>
        <v>0</v>
      </c>
      <c r="I72" s="13">
        <f t="shared" si="3"/>
        <v>0</v>
      </c>
      <c r="J72" s="13">
        <f>'Draw 10'!J72+'Draw 10'!K72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10'!H73</f>
        <v>0</v>
      </c>
      <c r="I73" s="13">
        <f t="shared" si="3"/>
        <v>0</v>
      </c>
      <c r="J73" s="13">
        <f>'Draw 10'!J73+'Draw 10'!K73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10'!H74</f>
        <v>0</v>
      </c>
      <c r="I74" s="13">
        <f t="shared" si="3"/>
        <v>0</v>
      </c>
      <c r="J74" s="13">
        <f>'Draw 10'!J74+'Draw 10'!K74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10'!H75</f>
        <v>0</v>
      </c>
      <c r="I75" s="13">
        <f t="shared" si="3"/>
        <v>0</v>
      </c>
      <c r="J75" s="13">
        <f>'Draw 10'!J75+'Draw 10'!K75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10'!H76</f>
        <v>0</v>
      </c>
      <c r="I76" s="13">
        <f t="shared" si="3"/>
        <v>0</v>
      </c>
      <c r="J76" s="13">
        <f>'Draw 10'!J76+'Draw 10'!K76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10'!H77</f>
        <v>0</v>
      </c>
      <c r="I77" s="13">
        <f t="shared" si="3"/>
        <v>0</v>
      </c>
      <c r="J77" s="13">
        <f>'Draw 10'!J77+'Draw 10'!K77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10'!H78</f>
        <v>0</v>
      </c>
      <c r="I78" s="13">
        <f t="shared" si="3"/>
        <v>0</v>
      </c>
      <c r="J78" s="13">
        <f>'Draw 10'!J78+'Draw 10'!K78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10'!H79</f>
        <v>0</v>
      </c>
      <c r="I79" s="13">
        <f t="shared" si="3"/>
        <v>0</v>
      </c>
      <c r="J79" s="13">
        <f>'Draw 10'!J79+'Draw 10'!K79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10'!H80</f>
        <v>0</v>
      </c>
      <c r="I80" s="13">
        <f t="shared" si="3"/>
        <v>0</v>
      </c>
      <c r="J80" s="13">
        <f>'Draw 10'!J80+'Draw 10'!K80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10'!H81</f>
        <v>0</v>
      </c>
      <c r="I81" s="13">
        <f t="shared" si="3"/>
        <v>0</v>
      </c>
      <c r="J81" s="13">
        <f>'Draw 10'!J81+'Draw 10'!K81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10'!H82</f>
        <v>0</v>
      </c>
      <c r="I82" s="13">
        <f t="shared" si="3"/>
        <v>0</v>
      </c>
      <c r="J82" s="13">
        <f>'Draw 10'!J82+'Draw 10'!K82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1"/>
  <sheetViews>
    <sheetView topLeftCell="A19"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231</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11'!H17</f>
        <v>18535.25</v>
      </c>
      <c r="I17" s="13">
        <f>+G17+H17</f>
        <v>641633.19999999995</v>
      </c>
      <c r="J17" s="13">
        <f>'Draw 11'!J17+'Draw 11'!K17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11'!H18</f>
        <v>0</v>
      </c>
      <c r="I18" s="13">
        <f t="shared" ref="I18:I46" si="0">+G18+H18</f>
        <v>0</v>
      </c>
      <c r="J18" s="13">
        <f>'Draw 11'!J18+'Draw 11'!K18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11'!H19</f>
        <v>15150</v>
      </c>
      <c r="I19" s="13">
        <f t="shared" si="0"/>
        <v>77526</v>
      </c>
      <c r="J19" s="13">
        <f>'Draw 11'!J19+'Draw 11'!K19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11'!H20</f>
        <v>0</v>
      </c>
      <c r="I20" s="13">
        <f t="shared" si="0"/>
        <v>15930</v>
      </c>
      <c r="J20" s="13">
        <f>'Draw 11'!J20+'Draw 11'!K20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11'!H21</f>
        <v>-15150</v>
      </c>
      <c r="I21" s="13">
        <f t="shared" si="0"/>
        <v>6592.2200000000012</v>
      </c>
      <c r="J21" s="13">
        <f>'Draw 11'!J21+'Draw 11'!K21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11'!H22</f>
        <v>0</v>
      </c>
      <c r="I22" s="13">
        <f t="shared" si="0"/>
        <v>0</v>
      </c>
      <c r="J22" s="13">
        <f>'Draw 11'!J22+'Draw 11'!K22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11'!H23</f>
        <v>0</v>
      </c>
      <c r="I23" s="13">
        <f t="shared" si="0"/>
        <v>424.4</v>
      </c>
      <c r="J23" s="13">
        <f>'Draw 11'!J23+'Draw 11'!K23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11'!H24</f>
        <v>0</v>
      </c>
      <c r="I24" s="13">
        <f t="shared" si="0"/>
        <v>47734</v>
      </c>
      <c r="J24" s="13">
        <f>'Draw 11'!J24+'Draw 11'!K24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11'!H25</f>
        <v>0</v>
      </c>
      <c r="I25" s="13">
        <f t="shared" si="0"/>
        <v>8214.5999999999985</v>
      </c>
      <c r="J25" s="13">
        <f>'Draw 11'!J25+'Draw 11'!K25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11'!H26</f>
        <v>0</v>
      </c>
      <c r="I26" s="13">
        <f t="shared" si="0"/>
        <v>0</v>
      </c>
      <c r="J26" s="13">
        <f>'Draw 11'!J26+'Draw 11'!K26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11'!H27</f>
        <v>0</v>
      </c>
      <c r="I27" s="13">
        <f t="shared" si="0"/>
        <v>0</v>
      </c>
      <c r="J27" s="13">
        <f>'Draw 11'!J27+'Draw 11'!K27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11'!H28</f>
        <v>0</v>
      </c>
      <c r="I28" s="13">
        <f t="shared" si="0"/>
        <v>0</v>
      </c>
      <c r="J28" s="13">
        <f>'Draw 11'!J28+'Draw 11'!K28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11'!H29</f>
        <v>0</v>
      </c>
      <c r="I29" s="13">
        <f t="shared" si="0"/>
        <v>800</v>
      </c>
      <c r="J29" s="13">
        <f>'Draw 11'!J29+'Draw 11'!K29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11'!H30</f>
        <v>0</v>
      </c>
      <c r="I30" s="13">
        <f t="shared" si="0"/>
        <v>2635</v>
      </c>
      <c r="J30" s="13">
        <f>'Draw 11'!J30+'Draw 11'!K30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11'!H31</f>
        <v>675</v>
      </c>
      <c r="I31" s="13">
        <f t="shared" si="0"/>
        <v>14120</v>
      </c>
      <c r="J31" s="13">
        <f>'Draw 11'!J31+'Draw 11'!K31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11'!H32</f>
        <v>0</v>
      </c>
      <c r="I32" s="13">
        <f t="shared" si="0"/>
        <v>0</v>
      </c>
      <c r="J32" s="13">
        <f>'Draw 11'!J32+'Draw 11'!K32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11'!H33</f>
        <v>0</v>
      </c>
      <c r="I33" s="13">
        <f t="shared" si="0"/>
        <v>18795</v>
      </c>
      <c r="J33" s="13">
        <f>'Draw 11'!J33+'Draw 11'!K33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11'!H34</f>
        <v>-675</v>
      </c>
      <c r="I34" s="13">
        <f t="shared" si="0"/>
        <v>17910.770000000004</v>
      </c>
      <c r="J34" s="13">
        <f>'Draw 11'!J34+'Draw 11'!K34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11'!H35</f>
        <v>0</v>
      </c>
      <c r="I35" s="13">
        <f t="shared" si="0"/>
        <v>16802</v>
      </c>
      <c r="J35" s="13">
        <f>'Draw 11'!J35+'Draw 11'!K35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11'!H36</f>
        <v>0</v>
      </c>
      <c r="I36" s="13">
        <f t="shared" si="0"/>
        <v>68518</v>
      </c>
      <c r="J36" s="13">
        <f>'Draw 11'!J36+'Draw 11'!K36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11'!H37</f>
        <v>0</v>
      </c>
      <c r="I37" s="13">
        <f t="shared" si="0"/>
        <v>0</v>
      </c>
      <c r="J37" s="13">
        <f>'Draw 11'!J37+'Draw 11'!K37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11'!H38</f>
        <v>-2172.5</v>
      </c>
      <c r="I38" s="13">
        <f t="shared" si="0"/>
        <v>2995</v>
      </c>
      <c r="J38" s="13">
        <f>'Draw 11'!J38+'Draw 11'!K38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11'!H39</f>
        <v>2172.5</v>
      </c>
      <c r="I39" s="13">
        <f t="shared" si="0"/>
        <v>17005</v>
      </c>
      <c r="J39" s="13">
        <f>'Draw 11'!J39+'Draw 11'!K39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11'!H40</f>
        <v>0</v>
      </c>
      <c r="I40" s="13">
        <f t="shared" si="0"/>
        <v>0</v>
      </c>
      <c r="J40" s="13">
        <f>'Draw 11'!J40+'Draw 11'!K40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11'!H41</f>
        <v>0</v>
      </c>
      <c r="I41" s="13">
        <f t="shared" si="0"/>
        <v>0</v>
      </c>
      <c r="J41" s="13">
        <f>'Draw 11'!J41+'Draw 11'!K41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11'!H42</f>
        <v>0</v>
      </c>
      <c r="I42" s="13">
        <f t="shared" si="0"/>
        <v>0</v>
      </c>
      <c r="J42" s="13">
        <f>'Draw 11'!J42+'Draw 11'!K42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11'!H43</f>
        <v>0</v>
      </c>
      <c r="I43" s="13">
        <f t="shared" si="0"/>
        <v>0</v>
      </c>
      <c r="J43" s="13">
        <f>'Draw 11'!J43+'Draw 11'!K43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11'!H44</f>
        <v>-18535.25</v>
      </c>
      <c r="I44" s="13">
        <f t="shared" si="0"/>
        <v>29997.1</v>
      </c>
      <c r="J44" s="13">
        <f>'Draw 11'!J44+'Draw 11'!K44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11'!H45</f>
        <v>0</v>
      </c>
      <c r="I45" s="13">
        <f t="shared" si="0"/>
        <v>46433.43</v>
      </c>
      <c r="J45" s="13">
        <f>'Draw 11'!J45+'Draw 11'!K45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11'!H46</f>
        <v>0</v>
      </c>
      <c r="I46" s="13">
        <f t="shared" si="0"/>
        <v>234300</v>
      </c>
      <c r="J46" s="13">
        <f>'Draw 11'!J46+'Draw 11'!K46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11'!H53</f>
        <v>0</v>
      </c>
      <c r="I53" s="13">
        <f t="shared" ref="I53:I82" si="3">+G53+H53</f>
        <v>0</v>
      </c>
      <c r="J53" s="13">
        <f>'Draw 11'!J53+'Draw 11'!K53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11'!H54</f>
        <v>0</v>
      </c>
      <c r="I54" s="13">
        <f t="shared" si="3"/>
        <v>0</v>
      </c>
      <c r="J54" s="13">
        <f>'Draw 11'!J54+'Draw 11'!K54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11'!H55</f>
        <v>0</v>
      </c>
      <c r="I55" s="13">
        <f t="shared" si="3"/>
        <v>0</v>
      </c>
      <c r="J55" s="13">
        <f>'Draw 11'!J55+'Draw 11'!K55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11'!H56</f>
        <v>0</v>
      </c>
      <c r="I56" s="13">
        <f t="shared" si="3"/>
        <v>0</v>
      </c>
      <c r="J56" s="13">
        <f>'Draw 11'!J56+'Draw 11'!K56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11'!H57</f>
        <v>0</v>
      </c>
      <c r="I57" s="13">
        <f t="shared" si="3"/>
        <v>0</v>
      </c>
      <c r="J57" s="13">
        <f>'Draw 11'!J57+'Draw 11'!K57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11'!H58</f>
        <v>0</v>
      </c>
      <c r="I58" s="13">
        <f t="shared" si="3"/>
        <v>0</v>
      </c>
      <c r="J58" s="13">
        <f>'Draw 11'!J58+'Draw 11'!K58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11'!H59</f>
        <v>0</v>
      </c>
      <c r="I59" s="13">
        <f t="shared" si="3"/>
        <v>0</v>
      </c>
      <c r="J59" s="13">
        <f>'Draw 11'!J59+'Draw 11'!K59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11'!H60</f>
        <v>0</v>
      </c>
      <c r="I60" s="13">
        <f t="shared" si="3"/>
        <v>0</v>
      </c>
      <c r="J60" s="13">
        <f>'Draw 11'!J60+'Draw 11'!K60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11'!H61</f>
        <v>0</v>
      </c>
      <c r="I61" s="13">
        <f t="shared" si="3"/>
        <v>0</v>
      </c>
      <c r="J61" s="13">
        <f>'Draw 11'!J61+'Draw 11'!K61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11'!H62</f>
        <v>0</v>
      </c>
      <c r="I62" s="13">
        <f t="shared" si="3"/>
        <v>0</v>
      </c>
      <c r="J62" s="13">
        <f>'Draw 11'!J62+'Draw 11'!K62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11'!H63</f>
        <v>0</v>
      </c>
      <c r="I63" s="13">
        <f t="shared" si="3"/>
        <v>0</v>
      </c>
      <c r="J63" s="13">
        <f>'Draw 11'!J63+'Draw 11'!K63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11'!H64</f>
        <v>0</v>
      </c>
      <c r="I64" s="13">
        <f t="shared" si="3"/>
        <v>0</v>
      </c>
      <c r="J64" s="13">
        <f>'Draw 11'!J64+'Draw 11'!K64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11'!H65</f>
        <v>0</v>
      </c>
      <c r="I65" s="13">
        <f t="shared" si="3"/>
        <v>0</v>
      </c>
      <c r="J65" s="13">
        <f>'Draw 11'!J65+'Draw 11'!K65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11'!H66</f>
        <v>0</v>
      </c>
      <c r="I66" s="13">
        <f t="shared" si="3"/>
        <v>0</v>
      </c>
      <c r="J66" s="13">
        <f>'Draw 11'!J66+'Draw 11'!K66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11'!H67</f>
        <v>0</v>
      </c>
      <c r="I67" s="13">
        <f t="shared" si="3"/>
        <v>0</v>
      </c>
      <c r="J67" s="13">
        <f>'Draw 11'!J67+'Draw 11'!K67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11'!H68</f>
        <v>0</v>
      </c>
      <c r="I68" s="13">
        <f t="shared" si="3"/>
        <v>0</v>
      </c>
      <c r="J68" s="13">
        <f>'Draw 11'!J68+'Draw 11'!K68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11'!H69</f>
        <v>0</v>
      </c>
      <c r="I69" s="13">
        <f t="shared" si="3"/>
        <v>0</v>
      </c>
      <c r="J69" s="13">
        <f>'Draw 11'!J69+'Draw 11'!K69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11'!H70</f>
        <v>0</v>
      </c>
      <c r="I70" s="13">
        <f t="shared" si="3"/>
        <v>0</v>
      </c>
      <c r="J70" s="13">
        <f>'Draw 11'!J70+'Draw 11'!K70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11'!H71</f>
        <v>0</v>
      </c>
      <c r="I71" s="13">
        <f t="shared" si="3"/>
        <v>0</v>
      </c>
      <c r="J71" s="13">
        <f>'Draw 11'!J71+'Draw 11'!K71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11'!H72</f>
        <v>0</v>
      </c>
      <c r="I72" s="13">
        <f t="shared" si="3"/>
        <v>0</v>
      </c>
      <c r="J72" s="13">
        <f>'Draw 11'!J72+'Draw 11'!K72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11'!H73</f>
        <v>0</v>
      </c>
      <c r="I73" s="13">
        <f t="shared" si="3"/>
        <v>0</v>
      </c>
      <c r="J73" s="13">
        <f>'Draw 11'!J73+'Draw 11'!K73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11'!H74</f>
        <v>0</v>
      </c>
      <c r="I74" s="13">
        <f t="shared" si="3"/>
        <v>0</v>
      </c>
      <c r="J74" s="13">
        <f>'Draw 11'!J74+'Draw 11'!K74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11'!H75</f>
        <v>0</v>
      </c>
      <c r="I75" s="13">
        <f t="shared" si="3"/>
        <v>0</v>
      </c>
      <c r="J75" s="13">
        <f>'Draw 11'!J75+'Draw 11'!K75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11'!H76</f>
        <v>0</v>
      </c>
      <c r="I76" s="13">
        <f t="shared" si="3"/>
        <v>0</v>
      </c>
      <c r="J76" s="13">
        <f>'Draw 11'!J76+'Draw 11'!K76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11'!H77</f>
        <v>0</v>
      </c>
      <c r="I77" s="13">
        <f t="shared" si="3"/>
        <v>0</v>
      </c>
      <c r="J77" s="13">
        <f>'Draw 11'!J77+'Draw 11'!K77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11'!H78</f>
        <v>0</v>
      </c>
      <c r="I78" s="13">
        <f t="shared" si="3"/>
        <v>0</v>
      </c>
      <c r="J78" s="13">
        <f>'Draw 11'!J78+'Draw 11'!K78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11'!H79</f>
        <v>0</v>
      </c>
      <c r="I79" s="13">
        <f t="shared" si="3"/>
        <v>0</v>
      </c>
      <c r="J79" s="13">
        <f>'Draw 11'!J79+'Draw 11'!K79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11'!H80</f>
        <v>0</v>
      </c>
      <c r="I80" s="13">
        <f t="shared" si="3"/>
        <v>0</v>
      </c>
      <c r="J80" s="13">
        <f>'Draw 11'!J80+'Draw 11'!K80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11'!H81</f>
        <v>0</v>
      </c>
      <c r="I81" s="13">
        <f t="shared" si="3"/>
        <v>0</v>
      </c>
      <c r="J81" s="13">
        <f>'Draw 11'!J81+'Draw 11'!K81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11'!H82</f>
        <v>0</v>
      </c>
      <c r="I82" s="13">
        <f t="shared" si="3"/>
        <v>0</v>
      </c>
      <c r="J82" s="13">
        <f>'Draw 11'!J82+'Draw 11'!K82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11"/>
  <sheetViews>
    <sheetView topLeftCell="A16"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232</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12'!H17</f>
        <v>18535.25</v>
      </c>
      <c r="I17" s="13">
        <f>+G17+H17</f>
        <v>641633.19999999995</v>
      </c>
      <c r="J17" s="13">
        <f>'Draw 12'!J17+'Draw 12'!K17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12'!H18</f>
        <v>0</v>
      </c>
      <c r="I18" s="13">
        <f t="shared" ref="I18:I46" si="0">+G18+H18</f>
        <v>0</v>
      </c>
      <c r="J18" s="13">
        <f>'Draw 12'!J18+'Draw 12'!K18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12'!H19</f>
        <v>15150</v>
      </c>
      <c r="I19" s="13">
        <f t="shared" si="0"/>
        <v>77526</v>
      </c>
      <c r="J19" s="13">
        <f>'Draw 12'!J19+'Draw 12'!K19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12'!H20</f>
        <v>0</v>
      </c>
      <c r="I20" s="13">
        <f t="shared" si="0"/>
        <v>15930</v>
      </c>
      <c r="J20" s="13">
        <f>'Draw 12'!J20+'Draw 12'!K20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12'!H21</f>
        <v>-15150</v>
      </c>
      <c r="I21" s="13">
        <f t="shared" si="0"/>
        <v>6592.2200000000012</v>
      </c>
      <c r="J21" s="13">
        <f>'Draw 12'!J21+'Draw 12'!K21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12'!H22</f>
        <v>0</v>
      </c>
      <c r="I22" s="13">
        <f t="shared" si="0"/>
        <v>0</v>
      </c>
      <c r="J22" s="13">
        <f>'Draw 12'!J22+'Draw 12'!K22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12'!H23</f>
        <v>0</v>
      </c>
      <c r="I23" s="13">
        <f t="shared" si="0"/>
        <v>424.4</v>
      </c>
      <c r="J23" s="13">
        <f>'Draw 12'!J23+'Draw 12'!K23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12'!H24</f>
        <v>0</v>
      </c>
      <c r="I24" s="13">
        <f t="shared" si="0"/>
        <v>47734</v>
      </c>
      <c r="J24" s="13">
        <f>'Draw 12'!J24+'Draw 12'!K24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12'!H25</f>
        <v>0</v>
      </c>
      <c r="I25" s="13">
        <f t="shared" si="0"/>
        <v>8214.5999999999985</v>
      </c>
      <c r="J25" s="13">
        <f>'Draw 12'!J25+'Draw 12'!K25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12'!H26</f>
        <v>0</v>
      </c>
      <c r="I26" s="13">
        <f t="shared" si="0"/>
        <v>0</v>
      </c>
      <c r="J26" s="13">
        <f>'Draw 12'!J26+'Draw 12'!K26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12'!H27</f>
        <v>0</v>
      </c>
      <c r="I27" s="13">
        <f t="shared" si="0"/>
        <v>0</v>
      </c>
      <c r="J27" s="13">
        <f>'Draw 12'!J27+'Draw 12'!K27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12'!H28</f>
        <v>0</v>
      </c>
      <c r="I28" s="13">
        <f t="shared" si="0"/>
        <v>0</v>
      </c>
      <c r="J28" s="13">
        <f>'Draw 12'!J28+'Draw 12'!K28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12'!H29</f>
        <v>0</v>
      </c>
      <c r="I29" s="13">
        <f t="shared" si="0"/>
        <v>800</v>
      </c>
      <c r="J29" s="13">
        <f>'Draw 12'!J29+'Draw 12'!K29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12'!H30</f>
        <v>0</v>
      </c>
      <c r="I30" s="13">
        <f t="shared" si="0"/>
        <v>2635</v>
      </c>
      <c r="J30" s="13">
        <f>'Draw 12'!J30+'Draw 12'!K30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12'!H31</f>
        <v>675</v>
      </c>
      <c r="I31" s="13">
        <f t="shared" si="0"/>
        <v>14120</v>
      </c>
      <c r="J31" s="13">
        <f>'Draw 12'!J31+'Draw 12'!K31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12'!H32</f>
        <v>0</v>
      </c>
      <c r="I32" s="13">
        <f t="shared" si="0"/>
        <v>0</v>
      </c>
      <c r="J32" s="13">
        <f>'Draw 12'!J32+'Draw 12'!K32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12'!H33</f>
        <v>0</v>
      </c>
      <c r="I33" s="13">
        <f t="shared" si="0"/>
        <v>18795</v>
      </c>
      <c r="J33" s="13">
        <f>'Draw 12'!J33+'Draw 12'!K33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12'!H34</f>
        <v>-675</v>
      </c>
      <c r="I34" s="13">
        <f t="shared" si="0"/>
        <v>17910.770000000004</v>
      </c>
      <c r="J34" s="13">
        <f>'Draw 12'!J34+'Draw 12'!K34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12'!H35</f>
        <v>0</v>
      </c>
      <c r="I35" s="13">
        <f t="shared" si="0"/>
        <v>16802</v>
      </c>
      <c r="J35" s="13">
        <f>'Draw 12'!J35+'Draw 12'!K35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12'!H36</f>
        <v>0</v>
      </c>
      <c r="I36" s="13">
        <f t="shared" si="0"/>
        <v>68518</v>
      </c>
      <c r="J36" s="13">
        <f>'Draw 12'!J36+'Draw 12'!K36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12'!H37</f>
        <v>0</v>
      </c>
      <c r="I37" s="13">
        <f t="shared" si="0"/>
        <v>0</v>
      </c>
      <c r="J37" s="13">
        <f>'Draw 12'!J37+'Draw 12'!K37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12'!H38</f>
        <v>-2172.5</v>
      </c>
      <c r="I38" s="13">
        <f t="shared" si="0"/>
        <v>2995</v>
      </c>
      <c r="J38" s="13">
        <f>'Draw 12'!J38+'Draw 12'!K38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12'!H39</f>
        <v>2172.5</v>
      </c>
      <c r="I39" s="13">
        <f t="shared" si="0"/>
        <v>17005</v>
      </c>
      <c r="J39" s="13">
        <f>'Draw 12'!J39+'Draw 12'!K39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12'!H40</f>
        <v>0</v>
      </c>
      <c r="I40" s="13">
        <f t="shared" si="0"/>
        <v>0</v>
      </c>
      <c r="J40" s="13">
        <f>'Draw 12'!J40+'Draw 12'!K40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12'!H41</f>
        <v>0</v>
      </c>
      <c r="I41" s="13">
        <f t="shared" si="0"/>
        <v>0</v>
      </c>
      <c r="J41" s="13">
        <f>'Draw 12'!J41+'Draw 12'!K41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12'!H42</f>
        <v>0</v>
      </c>
      <c r="I42" s="13">
        <f t="shared" si="0"/>
        <v>0</v>
      </c>
      <c r="J42" s="13">
        <f>'Draw 12'!J42+'Draw 12'!K42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12'!H43</f>
        <v>0</v>
      </c>
      <c r="I43" s="13">
        <f t="shared" si="0"/>
        <v>0</v>
      </c>
      <c r="J43" s="13">
        <f>'Draw 12'!J43+'Draw 12'!K43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12'!H44</f>
        <v>-18535.25</v>
      </c>
      <c r="I44" s="13">
        <f t="shared" si="0"/>
        <v>29997.1</v>
      </c>
      <c r="J44" s="13">
        <f>'Draw 12'!J44+'Draw 12'!K44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12'!H45</f>
        <v>0</v>
      </c>
      <c r="I45" s="13">
        <f t="shared" si="0"/>
        <v>46433.43</v>
      </c>
      <c r="J45" s="13">
        <f>'Draw 12'!J45+'Draw 12'!K45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12'!H46</f>
        <v>0</v>
      </c>
      <c r="I46" s="13">
        <f t="shared" si="0"/>
        <v>234300</v>
      </c>
      <c r="J46" s="13">
        <f>'Draw 12'!J46+'Draw 12'!K46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12'!H53</f>
        <v>0</v>
      </c>
      <c r="I53" s="13">
        <f t="shared" ref="I53:I82" si="3">+G53+H53</f>
        <v>0</v>
      </c>
      <c r="J53" s="13">
        <f>'Draw 12'!J53+'Draw 12'!K53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12'!H54</f>
        <v>0</v>
      </c>
      <c r="I54" s="13">
        <f t="shared" si="3"/>
        <v>0</v>
      </c>
      <c r="J54" s="13">
        <f>'Draw 12'!J54+'Draw 12'!K54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12'!H55</f>
        <v>0</v>
      </c>
      <c r="I55" s="13">
        <f t="shared" si="3"/>
        <v>0</v>
      </c>
      <c r="J55" s="13">
        <f>'Draw 12'!J55+'Draw 12'!K55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12'!H56</f>
        <v>0</v>
      </c>
      <c r="I56" s="13">
        <f t="shared" si="3"/>
        <v>0</v>
      </c>
      <c r="J56" s="13">
        <f>'Draw 12'!J56+'Draw 12'!K56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12'!H57</f>
        <v>0</v>
      </c>
      <c r="I57" s="13">
        <f t="shared" si="3"/>
        <v>0</v>
      </c>
      <c r="J57" s="13">
        <f>'Draw 12'!J57+'Draw 12'!K57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12'!H58</f>
        <v>0</v>
      </c>
      <c r="I58" s="13">
        <f t="shared" si="3"/>
        <v>0</v>
      </c>
      <c r="J58" s="13">
        <f>'Draw 12'!J58+'Draw 12'!K58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12'!H59</f>
        <v>0</v>
      </c>
      <c r="I59" s="13">
        <f t="shared" si="3"/>
        <v>0</v>
      </c>
      <c r="J59" s="13">
        <f>'Draw 12'!J59+'Draw 12'!K59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12'!H60</f>
        <v>0</v>
      </c>
      <c r="I60" s="13">
        <f t="shared" si="3"/>
        <v>0</v>
      </c>
      <c r="J60" s="13">
        <f>'Draw 12'!J60+'Draw 12'!K60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12'!H61</f>
        <v>0</v>
      </c>
      <c r="I61" s="13">
        <f t="shared" si="3"/>
        <v>0</v>
      </c>
      <c r="J61" s="13">
        <f>'Draw 12'!J61+'Draw 12'!K61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12'!H62</f>
        <v>0</v>
      </c>
      <c r="I62" s="13">
        <f t="shared" si="3"/>
        <v>0</v>
      </c>
      <c r="J62" s="13">
        <f>'Draw 12'!J62+'Draw 12'!K62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12'!H63</f>
        <v>0</v>
      </c>
      <c r="I63" s="13">
        <f t="shared" si="3"/>
        <v>0</v>
      </c>
      <c r="J63" s="13">
        <f>'Draw 12'!J63+'Draw 12'!K63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12'!H64</f>
        <v>0</v>
      </c>
      <c r="I64" s="13">
        <f t="shared" si="3"/>
        <v>0</v>
      </c>
      <c r="J64" s="13">
        <f>'Draw 12'!J64+'Draw 12'!K64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12'!H65</f>
        <v>0</v>
      </c>
      <c r="I65" s="13">
        <f t="shared" si="3"/>
        <v>0</v>
      </c>
      <c r="J65" s="13">
        <f>'Draw 12'!J65+'Draw 12'!K65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12'!H66</f>
        <v>0</v>
      </c>
      <c r="I66" s="13">
        <f t="shared" si="3"/>
        <v>0</v>
      </c>
      <c r="J66" s="13">
        <f>'Draw 12'!J66+'Draw 12'!K66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12'!H67</f>
        <v>0</v>
      </c>
      <c r="I67" s="13">
        <f t="shared" si="3"/>
        <v>0</v>
      </c>
      <c r="J67" s="13">
        <f>'Draw 12'!J67+'Draw 12'!K67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12'!H68</f>
        <v>0</v>
      </c>
      <c r="I68" s="13">
        <f t="shared" si="3"/>
        <v>0</v>
      </c>
      <c r="J68" s="13">
        <f>'Draw 12'!J68+'Draw 12'!K68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12'!H69</f>
        <v>0</v>
      </c>
      <c r="I69" s="13">
        <f t="shared" si="3"/>
        <v>0</v>
      </c>
      <c r="J69" s="13">
        <f>'Draw 12'!J69+'Draw 12'!K69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12'!H70</f>
        <v>0</v>
      </c>
      <c r="I70" s="13">
        <f t="shared" si="3"/>
        <v>0</v>
      </c>
      <c r="J70" s="13">
        <f>'Draw 12'!J70+'Draw 12'!K70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12'!H71</f>
        <v>0</v>
      </c>
      <c r="I71" s="13">
        <f t="shared" si="3"/>
        <v>0</v>
      </c>
      <c r="J71" s="13">
        <f>'Draw 12'!J71+'Draw 12'!K71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12'!H72</f>
        <v>0</v>
      </c>
      <c r="I72" s="13">
        <f t="shared" si="3"/>
        <v>0</v>
      </c>
      <c r="J72" s="13">
        <f>'Draw 12'!J72+'Draw 12'!K72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12'!H73</f>
        <v>0</v>
      </c>
      <c r="I73" s="13">
        <f t="shared" si="3"/>
        <v>0</v>
      </c>
      <c r="J73" s="13">
        <f>'Draw 12'!J73+'Draw 12'!K73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12'!H74</f>
        <v>0</v>
      </c>
      <c r="I74" s="13">
        <f t="shared" si="3"/>
        <v>0</v>
      </c>
      <c r="J74" s="13">
        <f>'Draw 12'!J74+'Draw 12'!K74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12'!H75</f>
        <v>0</v>
      </c>
      <c r="I75" s="13">
        <f t="shared" si="3"/>
        <v>0</v>
      </c>
      <c r="J75" s="13">
        <f>'Draw 12'!J75+'Draw 12'!K75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12'!H76</f>
        <v>0</v>
      </c>
      <c r="I76" s="13">
        <f t="shared" si="3"/>
        <v>0</v>
      </c>
      <c r="J76" s="13">
        <f>'Draw 12'!J76+'Draw 12'!K76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12'!H77</f>
        <v>0</v>
      </c>
      <c r="I77" s="13">
        <f t="shared" si="3"/>
        <v>0</v>
      </c>
      <c r="J77" s="13">
        <f>'Draw 12'!J77+'Draw 12'!K77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12'!H78</f>
        <v>0</v>
      </c>
      <c r="I78" s="13">
        <f t="shared" si="3"/>
        <v>0</v>
      </c>
      <c r="J78" s="13">
        <f>'Draw 12'!J78+'Draw 12'!K78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12'!H79</f>
        <v>0</v>
      </c>
      <c r="I79" s="13">
        <f t="shared" si="3"/>
        <v>0</v>
      </c>
      <c r="J79" s="13">
        <f>'Draw 12'!J79+'Draw 12'!K79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12'!H80</f>
        <v>0</v>
      </c>
      <c r="I80" s="13">
        <f t="shared" si="3"/>
        <v>0</v>
      </c>
      <c r="J80" s="13">
        <f>'Draw 12'!J80+'Draw 12'!K80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12'!H81</f>
        <v>0</v>
      </c>
      <c r="I81" s="13">
        <f t="shared" si="3"/>
        <v>0</v>
      </c>
      <c r="J81" s="13">
        <f>'Draw 12'!J81+'Draw 12'!K81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12'!H82</f>
        <v>0</v>
      </c>
      <c r="I82" s="13">
        <f t="shared" si="3"/>
        <v>0</v>
      </c>
      <c r="J82" s="13">
        <f>'Draw 12'!J82+'Draw 12'!K82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111"/>
  <sheetViews>
    <sheetView topLeftCell="A16"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233</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13'!H17</f>
        <v>18535.25</v>
      </c>
      <c r="I17" s="13">
        <f>+G17+H17</f>
        <v>641633.19999999995</v>
      </c>
      <c r="J17" s="13">
        <f>'Draw 13'!J17+'Draw 13'!K17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13'!H18</f>
        <v>0</v>
      </c>
      <c r="I18" s="13">
        <f t="shared" ref="I18:I46" si="0">+G18+H18</f>
        <v>0</v>
      </c>
      <c r="J18" s="13">
        <f>'Draw 13'!J18+'Draw 13'!K18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13'!H19</f>
        <v>15150</v>
      </c>
      <c r="I19" s="13">
        <f t="shared" si="0"/>
        <v>77526</v>
      </c>
      <c r="J19" s="13">
        <f>'Draw 13'!J19+'Draw 13'!K19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13'!H20</f>
        <v>0</v>
      </c>
      <c r="I20" s="13">
        <f t="shared" si="0"/>
        <v>15930</v>
      </c>
      <c r="J20" s="13">
        <f>'Draw 13'!J20+'Draw 13'!K20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13'!H21</f>
        <v>-15150</v>
      </c>
      <c r="I21" s="13">
        <f t="shared" si="0"/>
        <v>6592.2200000000012</v>
      </c>
      <c r="J21" s="13">
        <f>'Draw 13'!J21+'Draw 13'!K21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13'!H22</f>
        <v>0</v>
      </c>
      <c r="I22" s="13">
        <f t="shared" si="0"/>
        <v>0</v>
      </c>
      <c r="J22" s="13">
        <f>'Draw 13'!J22+'Draw 13'!K22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13'!H23</f>
        <v>0</v>
      </c>
      <c r="I23" s="13">
        <f t="shared" si="0"/>
        <v>424.4</v>
      </c>
      <c r="J23" s="13">
        <f>'Draw 13'!J23+'Draw 13'!K23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13'!H24</f>
        <v>0</v>
      </c>
      <c r="I24" s="13">
        <f t="shared" si="0"/>
        <v>47734</v>
      </c>
      <c r="J24" s="13">
        <f>'Draw 13'!J24+'Draw 13'!K24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13'!H25</f>
        <v>0</v>
      </c>
      <c r="I25" s="13">
        <f t="shared" si="0"/>
        <v>8214.5999999999985</v>
      </c>
      <c r="J25" s="13">
        <f>'Draw 13'!J25+'Draw 13'!K25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13'!H26</f>
        <v>0</v>
      </c>
      <c r="I26" s="13">
        <f t="shared" si="0"/>
        <v>0</v>
      </c>
      <c r="J26" s="13">
        <f>'Draw 13'!J26+'Draw 13'!K26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13'!H27</f>
        <v>0</v>
      </c>
      <c r="I27" s="13">
        <f t="shared" si="0"/>
        <v>0</v>
      </c>
      <c r="J27" s="13">
        <f>'Draw 13'!J27+'Draw 13'!K27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13'!H28</f>
        <v>0</v>
      </c>
      <c r="I28" s="13">
        <f t="shared" si="0"/>
        <v>0</v>
      </c>
      <c r="J28" s="13">
        <f>'Draw 13'!J28+'Draw 13'!K28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13'!H29</f>
        <v>0</v>
      </c>
      <c r="I29" s="13">
        <f t="shared" si="0"/>
        <v>800</v>
      </c>
      <c r="J29" s="13">
        <f>'Draw 13'!J29+'Draw 13'!K29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13'!H30</f>
        <v>0</v>
      </c>
      <c r="I30" s="13">
        <f t="shared" si="0"/>
        <v>2635</v>
      </c>
      <c r="J30" s="13">
        <f>'Draw 13'!J30+'Draw 13'!K30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13'!H31</f>
        <v>675</v>
      </c>
      <c r="I31" s="13">
        <f t="shared" si="0"/>
        <v>14120</v>
      </c>
      <c r="J31" s="13">
        <f>'Draw 13'!J31+'Draw 13'!K31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13'!H32</f>
        <v>0</v>
      </c>
      <c r="I32" s="13">
        <f t="shared" si="0"/>
        <v>0</v>
      </c>
      <c r="J32" s="13">
        <f>'Draw 13'!J32+'Draw 13'!K32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13'!H33</f>
        <v>0</v>
      </c>
      <c r="I33" s="13">
        <f t="shared" si="0"/>
        <v>18795</v>
      </c>
      <c r="J33" s="13">
        <f>'Draw 13'!J33+'Draw 13'!K33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13'!H34</f>
        <v>-675</v>
      </c>
      <c r="I34" s="13">
        <f t="shared" si="0"/>
        <v>17910.770000000004</v>
      </c>
      <c r="J34" s="13">
        <f>'Draw 13'!J34+'Draw 13'!K34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13'!H35</f>
        <v>0</v>
      </c>
      <c r="I35" s="13">
        <f t="shared" si="0"/>
        <v>16802</v>
      </c>
      <c r="J35" s="13">
        <f>'Draw 13'!J35+'Draw 13'!K35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13'!H36</f>
        <v>0</v>
      </c>
      <c r="I36" s="13">
        <f t="shared" si="0"/>
        <v>68518</v>
      </c>
      <c r="J36" s="13">
        <f>'Draw 13'!J36+'Draw 13'!K36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13'!H37</f>
        <v>0</v>
      </c>
      <c r="I37" s="13">
        <f t="shared" si="0"/>
        <v>0</v>
      </c>
      <c r="J37" s="13">
        <f>'Draw 13'!J37+'Draw 13'!K37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13'!H38</f>
        <v>-2172.5</v>
      </c>
      <c r="I38" s="13">
        <f t="shared" si="0"/>
        <v>2995</v>
      </c>
      <c r="J38" s="13">
        <f>'Draw 13'!J38+'Draw 13'!K38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13'!H39</f>
        <v>2172.5</v>
      </c>
      <c r="I39" s="13">
        <f t="shared" si="0"/>
        <v>17005</v>
      </c>
      <c r="J39" s="13">
        <f>'Draw 13'!J39+'Draw 13'!K39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13'!H40</f>
        <v>0</v>
      </c>
      <c r="I40" s="13">
        <f t="shared" si="0"/>
        <v>0</v>
      </c>
      <c r="J40" s="13">
        <f>'Draw 13'!J40+'Draw 13'!K40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13'!H41</f>
        <v>0</v>
      </c>
      <c r="I41" s="13">
        <f t="shared" si="0"/>
        <v>0</v>
      </c>
      <c r="J41" s="13">
        <f>'Draw 13'!J41+'Draw 13'!K41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13'!H42</f>
        <v>0</v>
      </c>
      <c r="I42" s="13">
        <f t="shared" si="0"/>
        <v>0</v>
      </c>
      <c r="J42" s="13">
        <f>'Draw 13'!J42+'Draw 13'!K42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13'!H43</f>
        <v>0</v>
      </c>
      <c r="I43" s="13">
        <f t="shared" si="0"/>
        <v>0</v>
      </c>
      <c r="J43" s="13">
        <f>'Draw 13'!J43+'Draw 13'!K43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13'!H44</f>
        <v>-18535.25</v>
      </c>
      <c r="I44" s="13">
        <f t="shared" si="0"/>
        <v>29997.1</v>
      </c>
      <c r="J44" s="13">
        <f>'Draw 13'!J44+'Draw 13'!K44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13'!H45</f>
        <v>0</v>
      </c>
      <c r="I45" s="13">
        <f t="shared" si="0"/>
        <v>46433.43</v>
      </c>
      <c r="J45" s="13">
        <f>'Draw 13'!J45+'Draw 13'!K45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13'!H46</f>
        <v>0</v>
      </c>
      <c r="I46" s="13">
        <f t="shared" si="0"/>
        <v>234300</v>
      </c>
      <c r="J46" s="13">
        <f>'Draw 13'!J46+'Draw 13'!K46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13'!H53</f>
        <v>0</v>
      </c>
      <c r="I53" s="13">
        <f t="shared" ref="I53:I82" si="3">+G53+H53</f>
        <v>0</v>
      </c>
      <c r="J53" s="13">
        <f>'Draw 13'!J53+'Draw 13'!K53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13'!H54</f>
        <v>0</v>
      </c>
      <c r="I54" s="13">
        <f t="shared" si="3"/>
        <v>0</v>
      </c>
      <c r="J54" s="13">
        <f>'Draw 13'!J54+'Draw 13'!K54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13'!H55</f>
        <v>0</v>
      </c>
      <c r="I55" s="13">
        <f t="shared" si="3"/>
        <v>0</v>
      </c>
      <c r="J55" s="13">
        <f>'Draw 13'!J55+'Draw 13'!K55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13'!H56</f>
        <v>0</v>
      </c>
      <c r="I56" s="13">
        <f t="shared" si="3"/>
        <v>0</v>
      </c>
      <c r="J56" s="13">
        <f>'Draw 13'!J56+'Draw 13'!K56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13'!H57</f>
        <v>0</v>
      </c>
      <c r="I57" s="13">
        <f t="shared" si="3"/>
        <v>0</v>
      </c>
      <c r="J57" s="13">
        <f>'Draw 13'!J57+'Draw 13'!K57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13'!H58</f>
        <v>0</v>
      </c>
      <c r="I58" s="13">
        <f t="shared" si="3"/>
        <v>0</v>
      </c>
      <c r="J58" s="13">
        <f>'Draw 13'!J58+'Draw 13'!K58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13'!H59</f>
        <v>0</v>
      </c>
      <c r="I59" s="13">
        <f t="shared" si="3"/>
        <v>0</v>
      </c>
      <c r="J59" s="13">
        <f>'Draw 13'!J59+'Draw 13'!K59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13'!H60</f>
        <v>0</v>
      </c>
      <c r="I60" s="13">
        <f t="shared" si="3"/>
        <v>0</v>
      </c>
      <c r="J60" s="13">
        <f>'Draw 13'!J60+'Draw 13'!K60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13'!H61</f>
        <v>0</v>
      </c>
      <c r="I61" s="13">
        <f t="shared" si="3"/>
        <v>0</v>
      </c>
      <c r="J61" s="13">
        <f>'Draw 13'!J61+'Draw 13'!K61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13'!H62</f>
        <v>0</v>
      </c>
      <c r="I62" s="13">
        <f t="shared" si="3"/>
        <v>0</v>
      </c>
      <c r="J62" s="13">
        <f>'Draw 13'!J62+'Draw 13'!K62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13'!H63</f>
        <v>0</v>
      </c>
      <c r="I63" s="13">
        <f t="shared" si="3"/>
        <v>0</v>
      </c>
      <c r="J63" s="13">
        <f>'Draw 13'!J63+'Draw 13'!K63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13'!H64</f>
        <v>0</v>
      </c>
      <c r="I64" s="13">
        <f t="shared" si="3"/>
        <v>0</v>
      </c>
      <c r="J64" s="13">
        <f>'Draw 13'!J64+'Draw 13'!K64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13'!H65</f>
        <v>0</v>
      </c>
      <c r="I65" s="13">
        <f t="shared" si="3"/>
        <v>0</v>
      </c>
      <c r="J65" s="13">
        <f>'Draw 13'!J65+'Draw 13'!K65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13'!H66</f>
        <v>0</v>
      </c>
      <c r="I66" s="13">
        <f t="shared" si="3"/>
        <v>0</v>
      </c>
      <c r="J66" s="13">
        <f>'Draw 13'!J66+'Draw 13'!K66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13'!H67</f>
        <v>0</v>
      </c>
      <c r="I67" s="13">
        <f t="shared" si="3"/>
        <v>0</v>
      </c>
      <c r="J67" s="13">
        <f>'Draw 13'!J67+'Draw 13'!K67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13'!H68</f>
        <v>0</v>
      </c>
      <c r="I68" s="13">
        <f t="shared" si="3"/>
        <v>0</v>
      </c>
      <c r="J68" s="13">
        <f>'Draw 13'!J68+'Draw 13'!K68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13'!H69</f>
        <v>0</v>
      </c>
      <c r="I69" s="13">
        <f t="shared" si="3"/>
        <v>0</v>
      </c>
      <c r="J69" s="13">
        <f>'Draw 13'!J69+'Draw 13'!K69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13'!H70</f>
        <v>0</v>
      </c>
      <c r="I70" s="13">
        <f t="shared" si="3"/>
        <v>0</v>
      </c>
      <c r="J70" s="13">
        <f>'Draw 13'!J70+'Draw 13'!K70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13'!H71</f>
        <v>0</v>
      </c>
      <c r="I71" s="13">
        <f t="shared" si="3"/>
        <v>0</v>
      </c>
      <c r="J71" s="13">
        <f>'Draw 13'!J71+'Draw 13'!K71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13'!H72</f>
        <v>0</v>
      </c>
      <c r="I72" s="13">
        <f t="shared" si="3"/>
        <v>0</v>
      </c>
      <c r="J72" s="13">
        <f>'Draw 13'!J72+'Draw 13'!K72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13'!H73</f>
        <v>0</v>
      </c>
      <c r="I73" s="13">
        <f t="shared" si="3"/>
        <v>0</v>
      </c>
      <c r="J73" s="13">
        <f>'Draw 13'!J73+'Draw 13'!K73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13'!H74</f>
        <v>0</v>
      </c>
      <c r="I74" s="13">
        <f t="shared" si="3"/>
        <v>0</v>
      </c>
      <c r="J74" s="13">
        <f>'Draw 13'!J74+'Draw 13'!K74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13'!H75</f>
        <v>0</v>
      </c>
      <c r="I75" s="13">
        <f t="shared" si="3"/>
        <v>0</v>
      </c>
      <c r="J75" s="13">
        <f>'Draw 13'!J75+'Draw 13'!K75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13'!H76</f>
        <v>0</v>
      </c>
      <c r="I76" s="13">
        <f t="shared" si="3"/>
        <v>0</v>
      </c>
      <c r="J76" s="13">
        <f>'Draw 13'!J76+'Draw 13'!K76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13'!H77</f>
        <v>0</v>
      </c>
      <c r="I77" s="13">
        <f t="shared" si="3"/>
        <v>0</v>
      </c>
      <c r="J77" s="13">
        <f>'Draw 13'!J77+'Draw 13'!K77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13'!H78</f>
        <v>0</v>
      </c>
      <c r="I78" s="13">
        <f t="shared" si="3"/>
        <v>0</v>
      </c>
      <c r="J78" s="13">
        <f>'Draw 13'!J78+'Draw 13'!K78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13'!H79</f>
        <v>0</v>
      </c>
      <c r="I79" s="13">
        <f t="shared" si="3"/>
        <v>0</v>
      </c>
      <c r="J79" s="13">
        <f>'Draw 13'!J79+'Draw 13'!K79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13'!H80</f>
        <v>0</v>
      </c>
      <c r="I80" s="13">
        <f t="shared" si="3"/>
        <v>0</v>
      </c>
      <c r="J80" s="13">
        <f>'Draw 13'!J80+'Draw 13'!K80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13'!H81</f>
        <v>0</v>
      </c>
      <c r="I81" s="13">
        <f t="shared" si="3"/>
        <v>0</v>
      </c>
      <c r="J81" s="13">
        <f>'Draw 13'!J81+'Draw 13'!K81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13'!H82</f>
        <v>0</v>
      </c>
      <c r="I82" s="13">
        <f t="shared" si="3"/>
        <v>0</v>
      </c>
      <c r="J82" s="13">
        <f>'Draw 13'!J82+'Draw 13'!K82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234</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14'!H17</f>
        <v>18535.25</v>
      </c>
      <c r="I17" s="13">
        <f>+G17+H17</f>
        <v>641633.19999999995</v>
      </c>
      <c r="J17" s="13">
        <f>'Draw 14'!J17+'Draw 14'!K17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14'!H18</f>
        <v>0</v>
      </c>
      <c r="I18" s="13">
        <f t="shared" ref="I18:I46" si="0">+G18+H18</f>
        <v>0</v>
      </c>
      <c r="J18" s="13">
        <f>'Draw 14'!J18+'Draw 14'!K18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14'!H19</f>
        <v>15150</v>
      </c>
      <c r="I19" s="13">
        <f t="shared" si="0"/>
        <v>77526</v>
      </c>
      <c r="J19" s="13">
        <f>'Draw 14'!J19+'Draw 14'!K19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14'!H20</f>
        <v>0</v>
      </c>
      <c r="I20" s="13">
        <f t="shared" si="0"/>
        <v>15930</v>
      </c>
      <c r="J20" s="13">
        <f>'Draw 14'!J20+'Draw 14'!K20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14'!H21</f>
        <v>-15150</v>
      </c>
      <c r="I21" s="13">
        <f t="shared" si="0"/>
        <v>6592.2200000000012</v>
      </c>
      <c r="J21" s="13">
        <f>'Draw 14'!J21+'Draw 14'!K21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14'!H22</f>
        <v>0</v>
      </c>
      <c r="I22" s="13">
        <f t="shared" si="0"/>
        <v>0</v>
      </c>
      <c r="J22" s="13">
        <f>'Draw 14'!J22+'Draw 14'!K22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14'!H23</f>
        <v>0</v>
      </c>
      <c r="I23" s="13">
        <f t="shared" si="0"/>
        <v>424.4</v>
      </c>
      <c r="J23" s="13">
        <f>'Draw 14'!J23+'Draw 14'!K23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14'!H24</f>
        <v>0</v>
      </c>
      <c r="I24" s="13">
        <f t="shared" si="0"/>
        <v>47734</v>
      </c>
      <c r="J24" s="13">
        <f>'Draw 14'!J24+'Draw 14'!K24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14'!H25</f>
        <v>0</v>
      </c>
      <c r="I25" s="13">
        <f t="shared" si="0"/>
        <v>8214.5999999999985</v>
      </c>
      <c r="J25" s="13">
        <f>'Draw 14'!J25+'Draw 14'!K25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14'!H26</f>
        <v>0</v>
      </c>
      <c r="I26" s="13">
        <f t="shared" si="0"/>
        <v>0</v>
      </c>
      <c r="J26" s="13">
        <f>'Draw 14'!J26+'Draw 14'!K26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14'!H27</f>
        <v>0</v>
      </c>
      <c r="I27" s="13">
        <f t="shared" si="0"/>
        <v>0</v>
      </c>
      <c r="J27" s="13">
        <f>'Draw 14'!J27+'Draw 14'!K27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14'!H28</f>
        <v>0</v>
      </c>
      <c r="I28" s="13">
        <f t="shared" si="0"/>
        <v>0</v>
      </c>
      <c r="J28" s="13">
        <f>'Draw 14'!J28+'Draw 14'!K28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14'!H29</f>
        <v>0</v>
      </c>
      <c r="I29" s="13">
        <f t="shared" si="0"/>
        <v>800</v>
      </c>
      <c r="J29" s="13">
        <f>'Draw 14'!J29+'Draw 14'!K29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14'!H30</f>
        <v>0</v>
      </c>
      <c r="I30" s="13">
        <f t="shared" si="0"/>
        <v>2635</v>
      </c>
      <c r="J30" s="13">
        <f>'Draw 14'!J30+'Draw 14'!K30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14'!H31</f>
        <v>675</v>
      </c>
      <c r="I31" s="13">
        <f t="shared" si="0"/>
        <v>14120</v>
      </c>
      <c r="J31" s="13">
        <f>'Draw 14'!J31+'Draw 14'!K31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14'!H32</f>
        <v>0</v>
      </c>
      <c r="I32" s="13">
        <f t="shared" si="0"/>
        <v>0</v>
      </c>
      <c r="J32" s="13">
        <f>'Draw 14'!J32+'Draw 14'!K32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14'!H33</f>
        <v>0</v>
      </c>
      <c r="I33" s="13">
        <f t="shared" si="0"/>
        <v>18795</v>
      </c>
      <c r="J33" s="13">
        <f>'Draw 14'!J33+'Draw 14'!K33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14'!H34</f>
        <v>-675</v>
      </c>
      <c r="I34" s="13">
        <f t="shared" si="0"/>
        <v>17910.770000000004</v>
      </c>
      <c r="J34" s="13">
        <f>'Draw 14'!J34+'Draw 14'!K34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14'!H35</f>
        <v>0</v>
      </c>
      <c r="I35" s="13">
        <f t="shared" si="0"/>
        <v>16802</v>
      </c>
      <c r="J35" s="13">
        <f>'Draw 14'!J35+'Draw 14'!K35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14'!H36</f>
        <v>0</v>
      </c>
      <c r="I36" s="13">
        <f t="shared" si="0"/>
        <v>68518</v>
      </c>
      <c r="J36" s="13">
        <f>'Draw 14'!J36+'Draw 14'!K36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14'!H37</f>
        <v>0</v>
      </c>
      <c r="I37" s="13">
        <f t="shared" si="0"/>
        <v>0</v>
      </c>
      <c r="J37" s="13">
        <f>'Draw 14'!J37+'Draw 14'!K37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14'!H38</f>
        <v>-2172.5</v>
      </c>
      <c r="I38" s="13">
        <f t="shared" si="0"/>
        <v>2995</v>
      </c>
      <c r="J38" s="13">
        <f>'Draw 14'!J38+'Draw 14'!K38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14'!H39</f>
        <v>2172.5</v>
      </c>
      <c r="I39" s="13">
        <f t="shared" si="0"/>
        <v>17005</v>
      </c>
      <c r="J39" s="13">
        <f>'Draw 14'!J39+'Draw 14'!K39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14'!H40</f>
        <v>0</v>
      </c>
      <c r="I40" s="13">
        <f t="shared" si="0"/>
        <v>0</v>
      </c>
      <c r="J40" s="13">
        <f>'Draw 14'!J40+'Draw 14'!K40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14'!H41</f>
        <v>0</v>
      </c>
      <c r="I41" s="13">
        <f t="shared" si="0"/>
        <v>0</v>
      </c>
      <c r="J41" s="13">
        <f>'Draw 14'!J41+'Draw 14'!K41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14'!H42</f>
        <v>0</v>
      </c>
      <c r="I42" s="13">
        <f t="shared" si="0"/>
        <v>0</v>
      </c>
      <c r="J42" s="13">
        <f>'Draw 14'!J42+'Draw 14'!K42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14'!H43</f>
        <v>0</v>
      </c>
      <c r="I43" s="13">
        <f t="shared" si="0"/>
        <v>0</v>
      </c>
      <c r="J43" s="13">
        <f>'Draw 14'!J43+'Draw 14'!K43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14'!H44</f>
        <v>-18535.25</v>
      </c>
      <c r="I44" s="13">
        <f t="shared" si="0"/>
        <v>29997.1</v>
      </c>
      <c r="J44" s="13">
        <f>'Draw 14'!J44+'Draw 14'!K44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14'!H45</f>
        <v>0</v>
      </c>
      <c r="I45" s="13">
        <f t="shared" si="0"/>
        <v>46433.43</v>
      </c>
      <c r="J45" s="13">
        <f>'Draw 14'!J45+'Draw 14'!K45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14'!H46</f>
        <v>0</v>
      </c>
      <c r="I46" s="13">
        <f t="shared" si="0"/>
        <v>234300</v>
      </c>
      <c r="J46" s="13">
        <f>'Draw 14'!J46+'Draw 14'!K46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14'!H53</f>
        <v>0</v>
      </c>
      <c r="I53" s="13">
        <f t="shared" ref="I53:I82" si="3">+G53+H53</f>
        <v>0</v>
      </c>
      <c r="J53" s="13">
        <f>'Draw 14'!J53+'Draw 14'!K53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14'!H54</f>
        <v>0</v>
      </c>
      <c r="I54" s="13">
        <f t="shared" si="3"/>
        <v>0</v>
      </c>
      <c r="J54" s="13">
        <f>'Draw 14'!J54+'Draw 14'!K54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14'!H55</f>
        <v>0</v>
      </c>
      <c r="I55" s="13">
        <f t="shared" si="3"/>
        <v>0</v>
      </c>
      <c r="J55" s="13">
        <f>'Draw 14'!J55+'Draw 14'!K55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14'!H56</f>
        <v>0</v>
      </c>
      <c r="I56" s="13">
        <f t="shared" si="3"/>
        <v>0</v>
      </c>
      <c r="J56" s="13">
        <f>'Draw 14'!J56+'Draw 14'!K56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14'!H57</f>
        <v>0</v>
      </c>
      <c r="I57" s="13">
        <f t="shared" si="3"/>
        <v>0</v>
      </c>
      <c r="J57" s="13">
        <f>'Draw 14'!J57+'Draw 14'!K57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14'!H58</f>
        <v>0</v>
      </c>
      <c r="I58" s="13">
        <f t="shared" si="3"/>
        <v>0</v>
      </c>
      <c r="J58" s="13">
        <f>'Draw 14'!J58+'Draw 14'!K58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14'!H59</f>
        <v>0</v>
      </c>
      <c r="I59" s="13">
        <f t="shared" si="3"/>
        <v>0</v>
      </c>
      <c r="J59" s="13">
        <f>'Draw 14'!J59+'Draw 14'!K59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14'!H60</f>
        <v>0</v>
      </c>
      <c r="I60" s="13">
        <f t="shared" si="3"/>
        <v>0</v>
      </c>
      <c r="J60" s="13">
        <f>'Draw 14'!J60+'Draw 14'!K60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14'!H61</f>
        <v>0</v>
      </c>
      <c r="I61" s="13">
        <f t="shared" si="3"/>
        <v>0</v>
      </c>
      <c r="J61" s="13">
        <f>'Draw 14'!J61+'Draw 14'!K61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14'!H62</f>
        <v>0</v>
      </c>
      <c r="I62" s="13">
        <f t="shared" si="3"/>
        <v>0</v>
      </c>
      <c r="J62" s="13">
        <f>'Draw 14'!J62+'Draw 14'!K62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14'!H63</f>
        <v>0</v>
      </c>
      <c r="I63" s="13">
        <f t="shared" si="3"/>
        <v>0</v>
      </c>
      <c r="J63" s="13">
        <f>'Draw 14'!J63+'Draw 14'!K63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14'!H64</f>
        <v>0</v>
      </c>
      <c r="I64" s="13">
        <f t="shared" si="3"/>
        <v>0</v>
      </c>
      <c r="J64" s="13">
        <f>'Draw 14'!J64+'Draw 14'!K64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14'!H65</f>
        <v>0</v>
      </c>
      <c r="I65" s="13">
        <f t="shared" si="3"/>
        <v>0</v>
      </c>
      <c r="J65" s="13">
        <f>'Draw 14'!J65+'Draw 14'!K65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14'!H66</f>
        <v>0</v>
      </c>
      <c r="I66" s="13">
        <f t="shared" si="3"/>
        <v>0</v>
      </c>
      <c r="J66" s="13">
        <f>'Draw 14'!J66+'Draw 14'!K66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14'!H67</f>
        <v>0</v>
      </c>
      <c r="I67" s="13">
        <f t="shared" si="3"/>
        <v>0</v>
      </c>
      <c r="J67" s="13">
        <f>'Draw 14'!J67+'Draw 14'!K67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14'!H68</f>
        <v>0</v>
      </c>
      <c r="I68" s="13">
        <f t="shared" si="3"/>
        <v>0</v>
      </c>
      <c r="J68" s="13">
        <f>'Draw 14'!J68+'Draw 14'!K68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14'!H69</f>
        <v>0</v>
      </c>
      <c r="I69" s="13">
        <f t="shared" si="3"/>
        <v>0</v>
      </c>
      <c r="J69" s="13">
        <f>'Draw 14'!J69+'Draw 14'!K69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14'!H70</f>
        <v>0</v>
      </c>
      <c r="I70" s="13">
        <f t="shared" si="3"/>
        <v>0</v>
      </c>
      <c r="J70" s="13">
        <f>'Draw 14'!J70+'Draw 14'!K70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14'!H71</f>
        <v>0</v>
      </c>
      <c r="I71" s="13">
        <f t="shared" si="3"/>
        <v>0</v>
      </c>
      <c r="J71" s="13">
        <f>'Draw 14'!J71+'Draw 14'!K71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14'!H72</f>
        <v>0</v>
      </c>
      <c r="I72" s="13">
        <f t="shared" si="3"/>
        <v>0</v>
      </c>
      <c r="J72" s="13">
        <f>'Draw 14'!J72+'Draw 14'!K72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14'!H73</f>
        <v>0</v>
      </c>
      <c r="I73" s="13">
        <f t="shared" si="3"/>
        <v>0</v>
      </c>
      <c r="J73" s="13">
        <f>'Draw 14'!J73+'Draw 14'!K73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14'!H74</f>
        <v>0</v>
      </c>
      <c r="I74" s="13">
        <f t="shared" si="3"/>
        <v>0</v>
      </c>
      <c r="J74" s="13">
        <f>'Draw 14'!J74+'Draw 14'!K74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14'!H75</f>
        <v>0</v>
      </c>
      <c r="I75" s="13">
        <f t="shared" si="3"/>
        <v>0</v>
      </c>
      <c r="J75" s="13">
        <f>'Draw 14'!J75+'Draw 14'!K75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14'!H76</f>
        <v>0</v>
      </c>
      <c r="I76" s="13">
        <f t="shared" si="3"/>
        <v>0</v>
      </c>
      <c r="J76" s="13">
        <f>'Draw 14'!J76+'Draw 14'!K76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14'!H77</f>
        <v>0</v>
      </c>
      <c r="I77" s="13">
        <f t="shared" si="3"/>
        <v>0</v>
      </c>
      <c r="J77" s="13">
        <f>'Draw 14'!J77+'Draw 14'!K77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14'!H78</f>
        <v>0</v>
      </c>
      <c r="I78" s="13">
        <f t="shared" si="3"/>
        <v>0</v>
      </c>
      <c r="J78" s="13">
        <f>'Draw 14'!J78+'Draw 14'!K78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14'!H79</f>
        <v>0</v>
      </c>
      <c r="I79" s="13">
        <f t="shared" si="3"/>
        <v>0</v>
      </c>
      <c r="J79" s="13">
        <f>'Draw 14'!J79+'Draw 14'!K79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14'!H80</f>
        <v>0</v>
      </c>
      <c r="I80" s="13">
        <f t="shared" si="3"/>
        <v>0</v>
      </c>
      <c r="J80" s="13">
        <f>'Draw 14'!J80+'Draw 14'!K80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14'!H81</f>
        <v>0</v>
      </c>
      <c r="I81" s="13">
        <f t="shared" si="3"/>
        <v>0</v>
      </c>
      <c r="J81" s="13">
        <f>'Draw 14'!J81+'Draw 14'!K81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14'!H82</f>
        <v>0</v>
      </c>
      <c r="I82" s="13">
        <f t="shared" si="3"/>
        <v>0</v>
      </c>
      <c r="J82" s="13">
        <f>'Draw 14'!J82+'Draw 14'!K82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111"/>
  <sheetViews>
    <sheetView topLeftCell="A7" workbookViewId="0">
      <selection activeCell="C3" sqref="C3:D3"/>
    </sheetView>
  </sheetViews>
  <sheetFormatPr defaultRowHeight="14.4" x14ac:dyDescent="0.3"/>
  <cols>
    <col min="1" max="1" width="3.6640625" customWidth="1"/>
    <col min="2" max="3" width="18.6640625" customWidth="1"/>
    <col min="4" max="4" width="36.6640625" customWidth="1"/>
    <col min="5" max="5" width="15.6640625" customWidth="1"/>
    <col min="6" max="6" width="31.6640625" style="10" customWidth="1"/>
    <col min="7" max="7" width="15.6640625" customWidth="1"/>
    <col min="8" max="8" width="13.6640625" customWidth="1"/>
    <col min="9" max="11" width="15.6640625" customWidth="1"/>
    <col min="12" max="12" width="28.44140625" customWidth="1"/>
  </cols>
  <sheetData>
    <row r="1" spans="1:12" ht="25.8" x14ac:dyDescent="0.5">
      <c r="A1" s="67" t="s">
        <v>235</v>
      </c>
      <c r="B1" s="67"/>
      <c r="C1" s="67"/>
      <c r="D1" s="67"/>
      <c r="E1" s="67"/>
      <c r="F1" s="67"/>
      <c r="G1" s="67"/>
      <c r="H1" s="67"/>
      <c r="I1" s="67"/>
      <c r="J1" s="67"/>
      <c r="K1" s="67"/>
      <c r="L1" s="67"/>
    </row>
    <row r="2" spans="1:12" x14ac:dyDescent="0.3">
      <c r="K2" s="21" t="s">
        <v>1</v>
      </c>
      <c r="L2" s="25"/>
    </row>
    <row r="3" spans="1:12" ht="15.6" x14ac:dyDescent="0.3">
      <c r="B3" s="30" t="s">
        <v>2</v>
      </c>
      <c r="C3" s="74" t="str">
        <f>+Master!C3</f>
        <v>Wolven Investments LLC</v>
      </c>
      <c r="D3" s="74"/>
      <c r="F3" s="32" t="s">
        <v>3</v>
      </c>
      <c r="G3" s="74" t="str">
        <f>+Master!G3</f>
        <v>Wolven Investments LLC</v>
      </c>
      <c r="H3" s="74"/>
      <c r="I3" s="74"/>
      <c r="K3" s="21" t="s">
        <v>4</v>
      </c>
      <c r="L3" s="25">
        <f>+Master!L3</f>
        <v>0</v>
      </c>
    </row>
    <row r="4" spans="1:12" ht="21.75" customHeight="1" x14ac:dyDescent="0.3">
      <c r="B4" s="37" t="s">
        <v>5</v>
      </c>
      <c r="C4" s="40"/>
      <c r="D4" s="40"/>
      <c r="F4" s="32" t="s">
        <v>6</v>
      </c>
      <c r="G4" s="75" t="str">
        <f>+Master!G4</f>
        <v>Jeff Klaasen</v>
      </c>
      <c r="H4" s="75"/>
      <c r="I4" s="75"/>
      <c r="K4" s="21" t="s">
        <v>7</v>
      </c>
      <c r="L4" s="27">
        <f>+Master!L4</f>
        <v>0</v>
      </c>
    </row>
    <row r="5" spans="1:12" ht="15.6" x14ac:dyDescent="0.3">
      <c r="B5" s="37" t="s">
        <v>8</v>
      </c>
      <c r="C5" s="74" t="str">
        <f>+Master!C5</f>
        <v>43 North Phase 2</v>
      </c>
      <c r="D5" s="74"/>
      <c r="F5" s="15"/>
      <c r="G5" s="68" t="s">
        <v>9</v>
      </c>
      <c r="H5" s="68"/>
      <c r="I5" s="68"/>
      <c r="K5" s="21" t="s">
        <v>10</v>
      </c>
      <c r="L5" s="25">
        <f>+Master!L5</f>
        <v>0</v>
      </c>
    </row>
    <row r="6" spans="1:12" ht="9" customHeight="1" x14ac:dyDescent="0.3">
      <c r="K6" s="6"/>
    </row>
    <row r="7" spans="1:12" ht="15.6" x14ac:dyDescent="0.3">
      <c r="B7" s="69" t="s">
        <v>11</v>
      </c>
      <c r="C7" s="69"/>
      <c r="D7" t="s">
        <v>12</v>
      </c>
      <c r="F7" s="15"/>
      <c r="G7" s="59" t="s">
        <v>13</v>
      </c>
      <c r="H7" s="59"/>
      <c r="I7" s="59"/>
      <c r="J7" s="59"/>
      <c r="K7" s="59"/>
      <c r="L7" s="59"/>
    </row>
    <row r="8" spans="1:12" ht="15.6" x14ac:dyDescent="0.3">
      <c r="B8" s="31"/>
      <c r="D8" t="s">
        <v>14</v>
      </c>
      <c r="F8" s="15"/>
      <c r="G8" s="59"/>
      <c r="H8" s="59"/>
      <c r="I8" s="59"/>
      <c r="J8" s="59"/>
      <c r="K8" s="59"/>
      <c r="L8" s="59"/>
    </row>
    <row r="9" spans="1:12" ht="15.6" x14ac:dyDescent="0.3">
      <c r="B9" s="35" t="s">
        <v>171</v>
      </c>
      <c r="C9" s="25" t="str">
        <f>+Master!C9</f>
        <v>Kent</v>
      </c>
      <c r="D9" t="s">
        <v>12</v>
      </c>
      <c r="F9" s="15"/>
      <c r="G9" s="59"/>
      <c r="H9" s="59"/>
      <c r="I9" s="59"/>
      <c r="J9" s="59"/>
      <c r="K9" s="59"/>
      <c r="L9" s="59"/>
    </row>
    <row r="10" spans="1:12" ht="15.75" customHeight="1" x14ac:dyDescent="0.3">
      <c r="B10" s="17"/>
      <c r="C10" s="17"/>
      <c r="D10" s="8"/>
      <c r="F10" s="15"/>
      <c r="G10" s="59"/>
      <c r="H10" s="59"/>
      <c r="I10" s="59"/>
      <c r="J10" s="59"/>
      <c r="K10" s="59"/>
      <c r="L10" s="59"/>
    </row>
    <row r="11" spans="1:12" ht="17.25" customHeight="1" x14ac:dyDescent="0.3">
      <c r="A11" s="36"/>
      <c r="B11" s="76" t="str">
        <f>IF(G4=0,"",G4)</f>
        <v>Jeff Klaasen</v>
      </c>
      <c r="C11" s="76"/>
      <c r="D11" t="s">
        <v>16</v>
      </c>
      <c r="F11" s="15"/>
      <c r="G11" s="59"/>
      <c r="H11" s="59"/>
      <c r="I11" s="59"/>
      <c r="J11" s="59"/>
      <c r="K11" s="59"/>
      <c r="L11" s="59"/>
    </row>
    <row r="12" spans="1:12" ht="15.6" x14ac:dyDescent="0.3">
      <c r="A12" s="36" t="s">
        <v>17</v>
      </c>
      <c r="B12" s="76" t="str">
        <f>+G3</f>
        <v>Wolven Investments LLC</v>
      </c>
      <c r="C12" s="76"/>
      <c r="D12" t="s">
        <v>18</v>
      </c>
      <c r="G12" s="59"/>
      <c r="H12" s="59"/>
      <c r="I12" s="59"/>
      <c r="J12" s="59"/>
      <c r="K12" s="59"/>
      <c r="L12" s="59"/>
    </row>
    <row r="13" spans="1:12" x14ac:dyDescent="0.3">
      <c r="B13" s="33" t="s">
        <v>19</v>
      </c>
      <c r="C13" s="53" t="str">
        <f>+C9</f>
        <v>Kent</v>
      </c>
      <c r="D13" t="s">
        <v>20</v>
      </c>
      <c r="G13" s="59"/>
      <c r="H13" s="59"/>
      <c r="I13" s="59"/>
      <c r="J13" s="59"/>
      <c r="K13" s="59"/>
      <c r="L13" s="59"/>
    </row>
    <row r="14" spans="1:12" x14ac:dyDescent="0.3">
      <c r="B14" s="74"/>
      <c r="C14" s="74"/>
      <c r="D14" s="74"/>
      <c r="E14" s="74"/>
      <c r="F14" s="74"/>
      <c r="G14" s="59"/>
      <c r="H14" s="59"/>
      <c r="I14" s="59"/>
      <c r="J14" s="59"/>
      <c r="K14" s="59"/>
      <c r="L14" s="59"/>
    </row>
    <row r="15" spans="1:12" ht="12.75" customHeight="1" thickBot="1" x14ac:dyDescent="0.35">
      <c r="B15" s="8"/>
      <c r="C15" s="8"/>
      <c r="D15" s="8"/>
      <c r="G15" s="16"/>
      <c r="H15" s="8"/>
    </row>
    <row r="16" spans="1:12" ht="42.75" customHeight="1" thickBot="1" x14ac:dyDescent="0.35">
      <c r="B16" s="64" t="s">
        <v>21</v>
      </c>
      <c r="C16" s="65"/>
      <c r="D16" s="5" t="s">
        <v>22</v>
      </c>
      <c r="E16" s="1" t="s">
        <v>23</v>
      </c>
      <c r="F16" s="2" t="s">
        <v>24</v>
      </c>
      <c r="G16" s="2" t="s">
        <v>25</v>
      </c>
      <c r="H16" s="3" t="s">
        <v>26</v>
      </c>
      <c r="I16" s="2" t="s">
        <v>27</v>
      </c>
      <c r="J16" s="2" t="s">
        <v>28</v>
      </c>
      <c r="K16" s="2" t="s">
        <v>29</v>
      </c>
      <c r="L16" s="2" t="s">
        <v>30</v>
      </c>
    </row>
    <row r="17" spans="1:12" x14ac:dyDescent="0.3">
      <c r="A17">
        <v>1</v>
      </c>
      <c r="B17" s="62" t="str">
        <f>IF(Master!$B17=0,"",Master!$B17)</f>
        <v>Jack Dykstra Excavating</v>
      </c>
      <c r="C17" s="63"/>
      <c r="D17" s="39" t="str">
        <f>IF(Master!$D17=0,"",Master!$D17)</f>
        <v>3677 3 Mile Rd., Grand Rapids, MI 49534</v>
      </c>
      <c r="E17" s="11" t="str">
        <f>IF(Master!$E17=0,"",Master!$E17)</f>
        <v>616-453-4827</v>
      </c>
      <c r="F17" s="11" t="str">
        <f>IF(Master!$F17=0,"",Master!$F17)</f>
        <v>GC Contract Amount</v>
      </c>
      <c r="G17" s="13">
        <f>Master!G17</f>
        <v>623097.94999999995</v>
      </c>
      <c r="H17" s="14">
        <f>'Draw 15'!H17</f>
        <v>18535.25</v>
      </c>
      <c r="I17" s="13">
        <f>+G17+H17</f>
        <v>641633.19999999995</v>
      </c>
      <c r="J17" s="13">
        <f>'Draw 15'!J17+'Draw 15'!K17</f>
        <v>641633.19999999995</v>
      </c>
      <c r="K17" s="14"/>
      <c r="L17" s="13">
        <f>+I17-J17-K17</f>
        <v>0</v>
      </c>
    </row>
    <row r="18" spans="1:12" x14ac:dyDescent="0.3">
      <c r="A18">
        <v>2</v>
      </c>
      <c r="B18" s="60" t="str">
        <f>IF(Master!$B18=0,"",Master!$B18)</f>
        <v/>
      </c>
      <c r="C18" s="61"/>
      <c r="D18" s="39" t="str">
        <f>IF(Master!$D18=0,"",Master!$D18)</f>
        <v/>
      </c>
      <c r="E18" s="11" t="str">
        <f>IF(Master!$E18=0,"",Master!$E18)</f>
        <v/>
      </c>
      <c r="F18" s="11" t="str">
        <f>IF(Master!$F18=0,"",Master!$F18)</f>
        <v/>
      </c>
      <c r="G18" s="13">
        <f>Master!G18</f>
        <v>0</v>
      </c>
      <c r="H18" s="14">
        <f>'Draw 15'!H18</f>
        <v>0</v>
      </c>
      <c r="I18" s="13">
        <f t="shared" ref="I18:I46" si="0">+G18+H18</f>
        <v>0</v>
      </c>
      <c r="J18" s="13">
        <f>'Draw 15'!J18+'Draw 15'!K18</f>
        <v>0</v>
      </c>
      <c r="K18" s="14"/>
      <c r="L18" s="13">
        <f t="shared" ref="L18:L46" si="1">+I18-J18-K18</f>
        <v>0</v>
      </c>
    </row>
    <row r="19" spans="1:12" x14ac:dyDescent="0.3">
      <c r="A19">
        <v>3</v>
      </c>
      <c r="B19" s="60" t="str">
        <f>IF(Master!$B19=0,"",Master!$B19)</f>
        <v>Roosien &amp; Associaties</v>
      </c>
      <c r="C19" s="61"/>
      <c r="D19" s="39" t="str">
        <f>IF(Master!$D19=0,"",Master!$D19)</f>
        <v>5055 Plainfield Ave., Grand Rapids, MI 49525</v>
      </c>
      <c r="E19" s="11" t="str">
        <f>IF(Master!$E19=0,"",Master!$E19)</f>
        <v>616-361-7220</v>
      </c>
      <c r="F19" s="11" t="str">
        <f>IF(Master!$F19=0,"",Master!$F19)</f>
        <v xml:space="preserve"> Engineering Services</v>
      </c>
      <c r="G19" s="13">
        <f>Master!G19</f>
        <v>62376</v>
      </c>
      <c r="H19" s="14">
        <f>'Draw 15'!H19</f>
        <v>15150</v>
      </c>
      <c r="I19" s="13">
        <f t="shared" si="0"/>
        <v>77526</v>
      </c>
      <c r="J19" s="13">
        <f>'Draw 15'!J19+'Draw 15'!K19</f>
        <v>77526</v>
      </c>
      <c r="K19" s="14"/>
      <c r="L19" s="13">
        <f t="shared" si="1"/>
        <v>0</v>
      </c>
    </row>
    <row r="20" spans="1:12" x14ac:dyDescent="0.3">
      <c r="A20">
        <v>4</v>
      </c>
      <c r="B20" s="60" t="str">
        <f>IF(Master!$B20=0,"",Master!$B20)</f>
        <v>Soils and Structures</v>
      </c>
      <c r="C20" s="61"/>
      <c r="D20" s="39" t="str">
        <f>IF(Master!$D20=0,"",Master!$D20)</f>
        <v>6480 Grand Haven Rd Muskegon MI 49441</v>
      </c>
      <c r="E20" s="11" t="str">
        <f>IF(Master!$E20=0,"",Master!$E20)</f>
        <v>1-800-933-3959</v>
      </c>
      <c r="F20" s="11" t="str">
        <f>IF(Master!$F20=0,"",Master!$F20)</f>
        <v>Engineering Services</v>
      </c>
      <c r="G20" s="13">
        <f>Master!G20</f>
        <v>15930</v>
      </c>
      <c r="H20" s="14">
        <f>'Draw 15'!H20</f>
        <v>0</v>
      </c>
      <c r="I20" s="13">
        <f t="shared" si="0"/>
        <v>15930</v>
      </c>
      <c r="J20" s="13">
        <f>'Draw 15'!J20+'Draw 15'!K20</f>
        <v>2535.5</v>
      </c>
      <c r="K20" s="14"/>
      <c r="L20" s="13">
        <f t="shared" si="1"/>
        <v>13394.5</v>
      </c>
    </row>
    <row r="21" spans="1:12" x14ac:dyDescent="0.3">
      <c r="A21">
        <v>5</v>
      </c>
      <c r="B21" s="60" t="str">
        <f>IF(Master!$B21=0,"",Master!$B21)</f>
        <v/>
      </c>
      <c r="C21" s="61"/>
      <c r="D21" s="39" t="str">
        <f>IF(Master!$D21=0,"",Master!$D21)</f>
        <v/>
      </c>
      <c r="E21" s="11" t="str">
        <f>IF(Master!$E21=0,"",Master!$E21)</f>
        <v/>
      </c>
      <c r="F21" s="11" t="str">
        <f>IF(Master!$F21=0,"",Master!$F21)</f>
        <v>Engineering Services</v>
      </c>
      <c r="G21" s="13">
        <f>Master!G21</f>
        <v>21742.22</v>
      </c>
      <c r="H21" s="14">
        <f>'Draw 15'!H21</f>
        <v>-15150</v>
      </c>
      <c r="I21" s="13">
        <f t="shared" si="0"/>
        <v>6592.2200000000012</v>
      </c>
      <c r="J21" s="13">
        <f>'Draw 15'!J21+'Draw 15'!K21</f>
        <v>0</v>
      </c>
      <c r="K21" s="14"/>
      <c r="L21" s="13">
        <f t="shared" si="1"/>
        <v>6592.2200000000012</v>
      </c>
    </row>
    <row r="22" spans="1:12" x14ac:dyDescent="0.3">
      <c r="A22">
        <v>6</v>
      </c>
      <c r="B22" s="60" t="str">
        <f>IF(Master!$B22=0,"",Master!$B22)</f>
        <v/>
      </c>
      <c r="C22" s="61"/>
      <c r="D22" s="39" t="str">
        <f>IF(Master!$D22=0,"",Master!$D22)</f>
        <v/>
      </c>
      <c r="E22" s="11" t="str">
        <f>IF(Master!$E22=0,"",Master!$E22)</f>
        <v/>
      </c>
      <c r="F22" s="11" t="str">
        <f>IF(Master!$F22=0,"",Master!$F22)</f>
        <v/>
      </c>
      <c r="G22" s="13">
        <f>Master!G22</f>
        <v>0</v>
      </c>
      <c r="H22" s="14">
        <f>'Draw 15'!H22</f>
        <v>0</v>
      </c>
      <c r="I22" s="13">
        <f t="shared" si="0"/>
        <v>0</v>
      </c>
      <c r="J22" s="13">
        <f>'Draw 15'!J22+'Draw 15'!K22</f>
        <v>0</v>
      </c>
      <c r="K22" s="14"/>
      <c r="L22" s="13">
        <f t="shared" si="1"/>
        <v>0</v>
      </c>
    </row>
    <row r="23" spans="1:12" x14ac:dyDescent="0.3">
      <c r="A23">
        <v>7</v>
      </c>
      <c r="B23" s="60" t="str">
        <f>IF(Master!$B23=0,"",Master!$B23)</f>
        <v>Handicap Sign</v>
      </c>
      <c r="C23" s="61"/>
      <c r="D23" s="39" t="str">
        <f>IF(Master!$D23=0,"",Master!$D23)</f>
        <v>1142 Wealthy St., Grand Rapids, MI 49506</v>
      </c>
      <c r="E23" s="11" t="str">
        <f>IF(Master!$E23=0,"",Master!$E23)</f>
        <v>616-454-9416</v>
      </c>
      <c r="F23" s="11" t="str">
        <f>IF(Master!$F23=0,"",Master!$F23)</f>
        <v>Common Area Improvements</v>
      </c>
      <c r="G23" s="13">
        <f>Master!G23</f>
        <v>424.4</v>
      </c>
      <c r="H23" s="14">
        <f>'Draw 15'!H23</f>
        <v>0</v>
      </c>
      <c r="I23" s="13">
        <f t="shared" si="0"/>
        <v>424.4</v>
      </c>
      <c r="J23" s="13">
        <f>'Draw 15'!J23+'Draw 15'!K23</f>
        <v>424.4</v>
      </c>
      <c r="K23" s="14"/>
      <c r="L23" s="13">
        <f t="shared" si="1"/>
        <v>0</v>
      </c>
    </row>
    <row r="24" spans="1:12" x14ac:dyDescent="0.3">
      <c r="A24">
        <v>8</v>
      </c>
      <c r="B24" s="60" t="str">
        <f>IF(Master!$B24=0,"",Master!$B24)</f>
        <v>Rosendall Well Drilling</v>
      </c>
      <c r="C24" s="61"/>
      <c r="D24" s="39" t="str">
        <f>IF(Master!$D24=0,"",Master!$D24)</f>
        <v>4181 Knapp, Grand Rapids, MI 49525</v>
      </c>
      <c r="E24" s="11" t="str">
        <f>IF(Master!$E24=0,"",Master!$E24)</f>
        <v>616-363-2683</v>
      </c>
      <c r="F24" s="11" t="str">
        <f>IF(Master!$F24=0,"",Master!$F24)</f>
        <v>Common Area Improvements</v>
      </c>
      <c r="G24" s="13">
        <f>Master!G24</f>
        <v>47734</v>
      </c>
      <c r="H24" s="14">
        <f>'Draw 15'!H24</f>
        <v>0</v>
      </c>
      <c r="I24" s="13">
        <f t="shared" si="0"/>
        <v>47734</v>
      </c>
      <c r="J24" s="13">
        <f>'Draw 15'!J24+'Draw 15'!K24</f>
        <v>47734</v>
      </c>
      <c r="K24" s="14"/>
      <c r="L24" s="13">
        <f t="shared" si="1"/>
        <v>0</v>
      </c>
    </row>
    <row r="25" spans="1:12" x14ac:dyDescent="0.3">
      <c r="A25">
        <v>9</v>
      </c>
      <c r="B25" s="60" t="str">
        <f>IF(Master!$B25=0,"",Master!$B25)</f>
        <v/>
      </c>
      <c r="C25" s="61"/>
      <c r="D25" s="39" t="str">
        <f>IF(Master!$D25=0,"",Master!$D25)</f>
        <v/>
      </c>
      <c r="E25" s="11" t="str">
        <f>IF(Master!$E25=0,"",Master!$E25)</f>
        <v/>
      </c>
      <c r="F25" s="11" t="str">
        <f>IF(Master!$F25=0,"",Master!$F25)</f>
        <v>Common Area Improvements</v>
      </c>
      <c r="G25" s="13">
        <f>Master!G25</f>
        <v>8214.5999999999985</v>
      </c>
      <c r="H25" s="14">
        <f>'Draw 15'!H25</f>
        <v>0</v>
      </c>
      <c r="I25" s="13">
        <f t="shared" si="0"/>
        <v>8214.5999999999985</v>
      </c>
      <c r="J25" s="13">
        <f>'Draw 15'!J25+'Draw 15'!K25</f>
        <v>0</v>
      </c>
      <c r="K25" s="14"/>
      <c r="L25" s="13">
        <f t="shared" si="1"/>
        <v>8214.5999999999985</v>
      </c>
    </row>
    <row r="26" spans="1:12" x14ac:dyDescent="0.3">
      <c r="A26">
        <v>10</v>
      </c>
      <c r="B26" s="60" t="str">
        <f>IF(Master!$B26=0,"",Master!$B26)</f>
        <v/>
      </c>
      <c r="C26" s="61"/>
      <c r="D26" s="39" t="str">
        <f>IF(Master!$D26=0,"",Master!$D26)</f>
        <v/>
      </c>
      <c r="E26" s="11" t="str">
        <f>IF(Master!$E26=0,"",Master!$E26)</f>
        <v/>
      </c>
      <c r="F26" s="11" t="str">
        <f>IF(Master!$F26=0,"",Master!$F26)</f>
        <v/>
      </c>
      <c r="G26" s="13">
        <f>Master!G26</f>
        <v>0</v>
      </c>
      <c r="H26" s="14">
        <f>'Draw 15'!H26</f>
        <v>0</v>
      </c>
      <c r="I26" s="13">
        <f t="shared" si="0"/>
        <v>0</v>
      </c>
      <c r="J26" s="13">
        <f>'Draw 15'!J26+'Draw 15'!K26</f>
        <v>0</v>
      </c>
      <c r="K26" s="14"/>
      <c r="L26" s="13">
        <f t="shared" si="1"/>
        <v>0</v>
      </c>
    </row>
    <row r="27" spans="1:12" x14ac:dyDescent="0.3">
      <c r="A27">
        <v>11</v>
      </c>
      <c r="B27" s="60" t="str">
        <f>IF(Master!$B27=0,"",Master!$B27)</f>
        <v/>
      </c>
      <c r="C27" s="61"/>
      <c r="D27" s="39" t="str">
        <f>IF(Master!$D27=0,"",Master!$D27)</f>
        <v/>
      </c>
      <c r="E27" s="11" t="str">
        <f>IF(Master!$E27=0,"",Master!$E27)</f>
        <v/>
      </c>
      <c r="F27" s="11" t="str">
        <f>IF(Master!$F27=0,"",Master!$F27)</f>
        <v/>
      </c>
      <c r="G27" s="13">
        <f>Master!G27</f>
        <v>0</v>
      </c>
      <c r="H27" s="14">
        <f>'Draw 15'!H27</f>
        <v>0</v>
      </c>
      <c r="I27" s="13">
        <f t="shared" si="0"/>
        <v>0</v>
      </c>
      <c r="J27" s="13">
        <f>'Draw 15'!J27+'Draw 15'!K27</f>
        <v>0</v>
      </c>
      <c r="K27" s="14"/>
      <c r="L27" s="13">
        <f t="shared" si="1"/>
        <v>0</v>
      </c>
    </row>
    <row r="28" spans="1:12" x14ac:dyDescent="0.3">
      <c r="A28">
        <v>12</v>
      </c>
      <c r="B28" s="60" t="str">
        <f>IF(Master!$B28=0,"",Master!$B28)</f>
        <v/>
      </c>
      <c r="C28" s="61"/>
      <c r="D28" s="39" t="str">
        <f>IF(Master!$D28=0,"",Master!$D28)</f>
        <v/>
      </c>
      <c r="E28" s="11" t="str">
        <f>IF(Master!$E28=0,"",Master!$E28)</f>
        <v/>
      </c>
      <c r="F28" s="11" t="str">
        <f>IF(Master!$F28=0,"",Master!$F28)</f>
        <v/>
      </c>
      <c r="G28" s="13">
        <f>Master!G28</f>
        <v>0</v>
      </c>
      <c r="H28" s="14">
        <f>'Draw 15'!H28</f>
        <v>0</v>
      </c>
      <c r="I28" s="13">
        <f t="shared" si="0"/>
        <v>0</v>
      </c>
      <c r="J28" s="13">
        <f>'Draw 15'!J28+'Draw 15'!K28</f>
        <v>0</v>
      </c>
      <c r="K28" s="14"/>
      <c r="L28" s="13">
        <f t="shared" si="1"/>
        <v>0</v>
      </c>
    </row>
    <row r="29" spans="1:12" x14ac:dyDescent="0.3">
      <c r="A29">
        <v>13</v>
      </c>
      <c r="B29" s="60" t="str">
        <f>IF(Master!$B29=0,"",Master!$B29)</f>
        <v>State of Michigan</v>
      </c>
      <c r="C29" s="61"/>
      <c r="D29" s="39" t="str">
        <f>IF(Master!$D29=0,"",Master!$D29)</f>
        <v>Lansing, MI 48909</v>
      </c>
      <c r="E29" s="11" t="str">
        <f>IF(Master!$E29=0,"",Master!$E29)</f>
        <v/>
      </c>
      <c r="F29" s="11" t="str">
        <f>IF(Master!$F29=0,"",Master!$F29)</f>
        <v>Permits and Fees</v>
      </c>
      <c r="G29" s="13">
        <f>Master!G29</f>
        <v>800</v>
      </c>
      <c r="H29" s="14">
        <f>'Draw 15'!H29</f>
        <v>0</v>
      </c>
      <c r="I29" s="13">
        <f t="shared" si="0"/>
        <v>800</v>
      </c>
      <c r="J29" s="13">
        <f>'Draw 15'!J29+'Draw 15'!K29</f>
        <v>800</v>
      </c>
      <c r="K29" s="14"/>
      <c r="L29" s="13">
        <f t="shared" si="1"/>
        <v>0</v>
      </c>
    </row>
    <row r="30" spans="1:12" x14ac:dyDescent="0.3">
      <c r="A30">
        <v>14</v>
      </c>
      <c r="B30" s="60" t="str">
        <f>IF(Master!$B30=0,"",Master!$B30)</f>
        <v>Kent County Health Department</v>
      </c>
      <c r="C30" s="61"/>
      <c r="D30" s="39" t="str">
        <f>IF(Master!$D30=0,"",Master!$D30)</f>
        <v>700 Fuller Ave., Grand Rapids, MI 49503</v>
      </c>
      <c r="E30" s="11" t="str">
        <f>IF(Master!$E30=0,"",Master!$E30)</f>
        <v>616-632-7100</v>
      </c>
      <c r="F30" s="11" t="str">
        <f>IF(Master!$F30=0,"",Master!$F30)</f>
        <v>Permits and Fees</v>
      </c>
      <c r="G30" s="13">
        <f>Master!G30</f>
        <v>2635</v>
      </c>
      <c r="H30" s="14">
        <f>'Draw 15'!H30</f>
        <v>0</v>
      </c>
      <c r="I30" s="13">
        <f t="shared" si="0"/>
        <v>2635</v>
      </c>
      <c r="J30" s="13">
        <f>'Draw 15'!J30+'Draw 15'!K30</f>
        <v>2635</v>
      </c>
      <c r="K30" s="14"/>
      <c r="L30" s="13">
        <f t="shared" si="1"/>
        <v>0</v>
      </c>
    </row>
    <row r="31" spans="1:12" x14ac:dyDescent="0.3">
      <c r="A31">
        <v>15</v>
      </c>
      <c r="B31" s="60" t="str">
        <f>IF(Master!$B31=0,"",Master!$B31)</f>
        <v>Kent County Road Commission</v>
      </c>
      <c r="C31" s="61"/>
      <c r="D31" s="39" t="str">
        <f>IF(Master!$D31=0,"",Master!$D31)</f>
        <v>1500 Scribner, Grand Rapids, MI 49504</v>
      </c>
      <c r="E31" s="11" t="str">
        <f>IF(Master!$E31=0,"",Master!$E31)</f>
        <v>616-242-6900</v>
      </c>
      <c r="F31" s="11" t="str">
        <f>IF(Master!$F31=0,"",Master!$F31)</f>
        <v>Permits and Fees</v>
      </c>
      <c r="G31" s="13">
        <f>Master!G31</f>
        <v>13445</v>
      </c>
      <c r="H31" s="14">
        <f>'Draw 15'!H31</f>
        <v>675</v>
      </c>
      <c r="I31" s="13">
        <f t="shared" si="0"/>
        <v>14120</v>
      </c>
      <c r="J31" s="13">
        <f>'Draw 15'!J31+'Draw 15'!K31</f>
        <v>14120</v>
      </c>
      <c r="K31" s="14"/>
      <c r="L31" s="13">
        <f t="shared" si="1"/>
        <v>0</v>
      </c>
    </row>
    <row r="32" spans="1:12" x14ac:dyDescent="0.3">
      <c r="A32">
        <v>16</v>
      </c>
      <c r="B32" s="60" t="str">
        <f>IF(Master!$B32=0,"",Master!$B32)</f>
        <v>Kent County Drain Commission</v>
      </c>
      <c r="C32" s="61"/>
      <c r="D32" s="39" t="str">
        <f>IF(Master!$D32=0,"",Master!$D32)</f>
        <v>1500 Scribner, Grand Rapids, MI 49504</v>
      </c>
      <c r="E32" s="11" t="str">
        <f>IF(Master!$E32=0,"",Master!$E32)</f>
        <v>616-632-7910</v>
      </c>
      <c r="F32" s="11" t="str">
        <f>IF(Master!$F32=0,"",Master!$F32)</f>
        <v>Permits and Fees</v>
      </c>
      <c r="G32" s="13">
        <f>Master!G32</f>
        <v>0</v>
      </c>
      <c r="H32" s="14">
        <f>'Draw 15'!H32</f>
        <v>0</v>
      </c>
      <c r="I32" s="13">
        <f t="shared" si="0"/>
        <v>0</v>
      </c>
      <c r="J32" s="13">
        <f>'Draw 15'!J32+'Draw 15'!K32</f>
        <v>0</v>
      </c>
      <c r="K32" s="14"/>
      <c r="L32" s="13">
        <f t="shared" si="1"/>
        <v>0</v>
      </c>
    </row>
    <row r="33" spans="1:12" x14ac:dyDescent="0.3">
      <c r="A33">
        <v>17</v>
      </c>
      <c r="B33" s="60" t="str">
        <f>IF(Master!$B33=0,"",Master!$B33)</f>
        <v>Algoma Township</v>
      </c>
      <c r="C33" s="61"/>
      <c r="D33" s="39" t="str">
        <f>IF(Master!$D33=0,"",Master!$D33)</f>
        <v>10531 Algoma Ave., Rockford, MI 49341</v>
      </c>
      <c r="E33" s="11" t="str">
        <f>IF(Master!$E33=0,"",Master!$E33)</f>
        <v>616-866-1583</v>
      </c>
      <c r="F33" s="11" t="str">
        <f>IF(Master!$F33=0,"",Master!$F33)</f>
        <v>Permits and Fees</v>
      </c>
      <c r="G33" s="13">
        <f>Master!G33</f>
        <v>18795</v>
      </c>
      <c r="H33" s="14">
        <f>'Draw 15'!H33</f>
        <v>0</v>
      </c>
      <c r="I33" s="13">
        <f t="shared" si="0"/>
        <v>18795</v>
      </c>
      <c r="J33" s="13">
        <f>'Draw 15'!J33+'Draw 15'!K33</f>
        <v>18795</v>
      </c>
      <c r="K33" s="14"/>
      <c r="L33" s="13">
        <f t="shared" si="1"/>
        <v>0</v>
      </c>
    </row>
    <row r="34" spans="1:12" x14ac:dyDescent="0.3">
      <c r="A34">
        <v>18</v>
      </c>
      <c r="B34" s="60" t="str">
        <f>IF(Master!$B34=0,"",Master!$B34)</f>
        <v/>
      </c>
      <c r="C34" s="61"/>
      <c r="D34" s="39" t="str">
        <f>IF(Master!$D34=0,"",Master!$D34)</f>
        <v/>
      </c>
      <c r="E34" s="11" t="str">
        <f>IF(Master!$E34=0,"",Master!$E34)</f>
        <v/>
      </c>
      <c r="F34" s="11" t="str">
        <f>IF(Master!$F34=0,"",Master!$F34)</f>
        <v>Permits and Fees</v>
      </c>
      <c r="G34" s="13">
        <f>Master!G34</f>
        <v>18585.770000000004</v>
      </c>
      <c r="H34" s="14">
        <f>'Draw 15'!H34</f>
        <v>-675</v>
      </c>
      <c r="I34" s="13">
        <f t="shared" si="0"/>
        <v>17910.770000000004</v>
      </c>
      <c r="J34" s="13">
        <f>'Draw 15'!J34+'Draw 15'!K34</f>
        <v>0</v>
      </c>
      <c r="K34" s="14"/>
      <c r="L34" s="13">
        <f t="shared" si="1"/>
        <v>17910.770000000004</v>
      </c>
    </row>
    <row r="35" spans="1:12" x14ac:dyDescent="0.3">
      <c r="A35">
        <v>19</v>
      </c>
      <c r="B35" s="60" t="str">
        <f>IF(Master!$B35=0,"",Master!$B35)</f>
        <v/>
      </c>
      <c r="C35" s="61"/>
      <c r="D35" s="39" t="str">
        <f>IF(Master!$D35=0,"",Master!$D35)</f>
        <v/>
      </c>
      <c r="E35" s="11" t="str">
        <f>IF(Master!$E35=0,"",Master!$E35)</f>
        <v/>
      </c>
      <c r="F35" s="11" t="str">
        <f>IF(Master!$F35=0,"",Master!$F35)</f>
        <v>Electric, Gas, Street Lights</v>
      </c>
      <c r="G35" s="13">
        <f>Master!G35</f>
        <v>16802</v>
      </c>
      <c r="H35" s="14">
        <f>'Draw 15'!H35</f>
        <v>0</v>
      </c>
      <c r="I35" s="13">
        <f t="shared" si="0"/>
        <v>16802</v>
      </c>
      <c r="J35" s="13">
        <f>'Draw 15'!J35+'Draw 15'!K35</f>
        <v>0</v>
      </c>
      <c r="K35" s="14"/>
      <c r="L35" s="13">
        <f t="shared" si="1"/>
        <v>16802</v>
      </c>
    </row>
    <row r="36" spans="1:12" x14ac:dyDescent="0.3">
      <c r="A36">
        <v>20</v>
      </c>
      <c r="B36" s="60" t="str">
        <f>IF(Master!$B36=0,"",Master!$B36)</f>
        <v>Consumers Energy</v>
      </c>
      <c r="C36" s="61"/>
      <c r="D36" s="39" t="str">
        <f>IF(Master!$D36=0,"",Master!$D36)</f>
        <v>530 W Willow St. Lansing MI 48909</v>
      </c>
      <c r="E36" s="11" t="str">
        <f>IF(Master!$E36=0,"",Master!$E36)</f>
        <v>616-530-4210</v>
      </c>
      <c r="F36" s="11" t="str">
        <f>IF(Master!$F36=0,"",Master!$F36)</f>
        <v>Electric, Gas, Street Lights</v>
      </c>
      <c r="G36" s="13">
        <f>Master!G36</f>
        <v>68518</v>
      </c>
      <c r="H36" s="14">
        <f>'Draw 15'!H36</f>
        <v>0</v>
      </c>
      <c r="I36" s="13">
        <f t="shared" si="0"/>
        <v>68518</v>
      </c>
      <c r="J36" s="13">
        <f>'Draw 15'!J36+'Draw 15'!K36</f>
        <v>68518</v>
      </c>
      <c r="K36" s="14"/>
      <c r="L36" s="13">
        <f t="shared" si="1"/>
        <v>0</v>
      </c>
    </row>
    <row r="37" spans="1:12" x14ac:dyDescent="0.3">
      <c r="A37">
        <v>21</v>
      </c>
      <c r="B37" s="60" t="str">
        <f>IF(Master!$B37=0,"",Master!$B37)</f>
        <v>DTE Energy</v>
      </c>
      <c r="C37" s="61"/>
      <c r="D37" s="39" t="str">
        <f>IF(Master!$D37=0,"",Master!$D37)</f>
        <v>4420 44th St., Grand Rapids, MI 49512</v>
      </c>
      <c r="E37" s="11" t="str">
        <f>IF(Master!$E37=0,"",Master!$E37)</f>
        <v>616-278-4720</v>
      </c>
      <c r="F37" s="11" t="str">
        <f>IF(Master!$F37=0,"",Master!$F37)</f>
        <v>Electric, Gas, Street Lights</v>
      </c>
      <c r="G37" s="13">
        <f>Master!G37</f>
        <v>0</v>
      </c>
      <c r="H37" s="14">
        <f>'Draw 15'!H37</f>
        <v>0</v>
      </c>
      <c r="I37" s="13">
        <f t="shared" si="0"/>
        <v>0</v>
      </c>
      <c r="J37" s="13">
        <f>'Draw 15'!J37+'Draw 15'!K37</f>
        <v>0</v>
      </c>
      <c r="K37" s="14"/>
      <c r="L37" s="13">
        <f t="shared" si="1"/>
        <v>0</v>
      </c>
    </row>
    <row r="38" spans="1:12" x14ac:dyDescent="0.3">
      <c r="A38">
        <v>22</v>
      </c>
      <c r="B38" s="60" t="str">
        <f>IF(Master!$B38=0,"",Master!$B38)</f>
        <v/>
      </c>
      <c r="C38" s="61"/>
      <c r="D38" s="39" t="str">
        <f>IF(Master!$D38=0,"",Master!$D38)</f>
        <v/>
      </c>
      <c r="E38" s="11" t="str">
        <f>IF(Master!$E38=0,"",Master!$E38)</f>
        <v/>
      </c>
      <c r="F38" s="11" t="str">
        <f>IF(Master!$F38=0,"",Master!$F38)</f>
        <v>Professional Services</v>
      </c>
      <c r="G38" s="13">
        <f>Master!G38</f>
        <v>5167.5</v>
      </c>
      <c r="H38" s="14">
        <f>'Draw 15'!H38</f>
        <v>-2172.5</v>
      </c>
      <c r="I38" s="13">
        <f t="shared" si="0"/>
        <v>2995</v>
      </c>
      <c r="J38" s="13">
        <f>'Draw 15'!J38+'Draw 15'!K38</f>
        <v>0</v>
      </c>
      <c r="K38" s="14"/>
      <c r="L38" s="13">
        <f t="shared" si="1"/>
        <v>2995</v>
      </c>
    </row>
    <row r="39" spans="1:12" x14ac:dyDescent="0.3">
      <c r="A39">
        <v>23</v>
      </c>
      <c r="B39" s="60" t="str">
        <f>IF(Master!$B39=0,"",Master!$B39)</f>
        <v>Rhodes Mckee</v>
      </c>
      <c r="C39" s="61"/>
      <c r="D39" s="39" t="str">
        <f>IF(Master!$D39=0,"",Master!$D39)</f>
        <v>55 Campau Ave. Grand Rapids MI 49503</v>
      </c>
      <c r="E39" s="11" t="str">
        <f>IF(Master!$E39=0,"",Master!$E39)</f>
        <v>616-235-3500</v>
      </c>
      <c r="F39" s="11" t="str">
        <f>IF(Master!$F39=0,"",Master!$F39)</f>
        <v>Professional Services</v>
      </c>
      <c r="G39" s="13">
        <f>Master!G39</f>
        <v>14832.5</v>
      </c>
      <c r="H39" s="14">
        <f>'Draw 15'!H39</f>
        <v>2172.5</v>
      </c>
      <c r="I39" s="13">
        <f t="shared" si="0"/>
        <v>17005</v>
      </c>
      <c r="J39" s="13">
        <f>'Draw 15'!J39+'Draw 15'!K39</f>
        <v>17005</v>
      </c>
      <c r="K39" s="14"/>
      <c r="L39" s="13">
        <f t="shared" si="1"/>
        <v>0</v>
      </c>
    </row>
    <row r="40" spans="1:12" x14ac:dyDescent="0.3">
      <c r="A40">
        <v>24</v>
      </c>
      <c r="B40" s="60" t="str">
        <f>IF(Master!$B40=0,"",Master!$B40)</f>
        <v/>
      </c>
      <c r="C40" s="61"/>
      <c r="D40" s="39" t="str">
        <f>IF(Master!$D40=0,"",Master!$D40)</f>
        <v/>
      </c>
      <c r="E40" s="11" t="str">
        <f>IF(Master!$E40=0,"",Master!$E40)</f>
        <v/>
      </c>
      <c r="F40" s="11" t="str">
        <f>IF(Master!$F40=0,"",Master!$F40)</f>
        <v/>
      </c>
      <c r="G40" s="13">
        <f>Master!G40</f>
        <v>0</v>
      </c>
      <c r="H40" s="14">
        <f>'Draw 15'!H40</f>
        <v>0</v>
      </c>
      <c r="I40" s="13">
        <f t="shared" si="0"/>
        <v>0</v>
      </c>
      <c r="J40" s="13">
        <f>'Draw 15'!J40+'Draw 15'!K40</f>
        <v>0</v>
      </c>
      <c r="K40" s="14"/>
      <c r="L40" s="13">
        <f t="shared" si="1"/>
        <v>0</v>
      </c>
    </row>
    <row r="41" spans="1:12" x14ac:dyDescent="0.3">
      <c r="A41">
        <v>25</v>
      </c>
      <c r="B41" s="60" t="str">
        <f>IF(Master!$B41=0,"",Master!$B41)</f>
        <v/>
      </c>
      <c r="C41" s="61"/>
      <c r="D41" s="39" t="str">
        <f>IF(Master!$D41=0,"",Master!$D41)</f>
        <v/>
      </c>
      <c r="E41" s="11" t="str">
        <f>IF(Master!$E41=0,"",Master!$E41)</f>
        <v/>
      </c>
      <c r="F41" s="11" t="str">
        <f>IF(Master!$F41=0,"",Master!$F41)</f>
        <v/>
      </c>
      <c r="G41" s="13">
        <f>Master!G41</f>
        <v>0</v>
      </c>
      <c r="H41" s="14">
        <f>'Draw 15'!H41</f>
        <v>0</v>
      </c>
      <c r="I41" s="13">
        <f t="shared" si="0"/>
        <v>0</v>
      </c>
      <c r="J41" s="13">
        <f>'Draw 15'!J41+'Draw 15'!K41</f>
        <v>0</v>
      </c>
      <c r="K41" s="14"/>
      <c r="L41" s="13">
        <f t="shared" si="1"/>
        <v>0</v>
      </c>
    </row>
    <row r="42" spans="1:12" x14ac:dyDescent="0.3">
      <c r="A42">
        <v>26</v>
      </c>
      <c r="B42" s="60" t="str">
        <f>IF(Master!$B42=0,"",Master!$B42)</f>
        <v/>
      </c>
      <c r="C42" s="61"/>
      <c r="D42" s="39" t="str">
        <f>IF(Master!$D42=0,"",Master!$D42)</f>
        <v/>
      </c>
      <c r="E42" s="11" t="str">
        <f>IF(Master!$E42=0,"",Master!$E42)</f>
        <v/>
      </c>
      <c r="F42" s="11" t="str">
        <f>IF(Master!$F42=0,"",Master!$F42)</f>
        <v/>
      </c>
      <c r="G42" s="13">
        <f>Master!G42</f>
        <v>0</v>
      </c>
      <c r="H42" s="14">
        <f>'Draw 15'!H42</f>
        <v>0</v>
      </c>
      <c r="I42" s="13">
        <f t="shared" si="0"/>
        <v>0</v>
      </c>
      <c r="J42" s="13">
        <f>'Draw 15'!J42+'Draw 15'!K42</f>
        <v>0</v>
      </c>
      <c r="K42" s="14"/>
      <c r="L42" s="13">
        <f t="shared" si="1"/>
        <v>0</v>
      </c>
    </row>
    <row r="43" spans="1:12" x14ac:dyDescent="0.3">
      <c r="A43">
        <v>27</v>
      </c>
      <c r="B43" s="60" t="str">
        <f>IF(Master!$B43=0,"",Master!$B43)</f>
        <v/>
      </c>
      <c r="C43" s="61"/>
      <c r="D43" s="39" t="str">
        <f>IF(Master!$D43=0,"",Master!$D43)</f>
        <v/>
      </c>
      <c r="E43" s="11" t="str">
        <f>IF(Master!$E43=0,"",Master!$E43)</f>
        <v/>
      </c>
      <c r="F43" s="11" t="str">
        <f>IF(Master!$F43=0,"",Master!$F43)</f>
        <v/>
      </c>
      <c r="G43" s="13">
        <f>Master!G43</f>
        <v>0</v>
      </c>
      <c r="H43" s="14">
        <f>'Draw 15'!H43</f>
        <v>0</v>
      </c>
      <c r="I43" s="13">
        <f t="shared" si="0"/>
        <v>0</v>
      </c>
      <c r="J43" s="13">
        <f>'Draw 15'!J43+'Draw 15'!K43</f>
        <v>0</v>
      </c>
      <c r="K43" s="14"/>
      <c r="L43" s="13">
        <f t="shared" si="1"/>
        <v>0</v>
      </c>
    </row>
    <row r="44" spans="1:12" x14ac:dyDescent="0.3">
      <c r="A44">
        <v>28</v>
      </c>
      <c r="B44" s="60" t="str">
        <f>IF(Master!$B44=0,"",Master!$B44)</f>
        <v/>
      </c>
      <c r="C44" s="61"/>
      <c r="D44" s="39" t="str">
        <f>IF(Master!$D44=0,"",Master!$D44)</f>
        <v/>
      </c>
      <c r="E44" s="11" t="str">
        <f>IF(Master!$E44=0,"",Master!$E44)</f>
        <v/>
      </c>
      <c r="F44" s="11" t="str">
        <f>IF(Master!$F44=0,"",Master!$F44)</f>
        <v>Contingency</v>
      </c>
      <c r="G44" s="13">
        <f>Master!G44</f>
        <v>48532.35</v>
      </c>
      <c r="H44" s="14">
        <f>'Draw 15'!H44</f>
        <v>-18535.25</v>
      </c>
      <c r="I44" s="13">
        <f t="shared" si="0"/>
        <v>29997.1</v>
      </c>
      <c r="J44" s="13">
        <f>'Draw 15'!J44+'Draw 15'!K44</f>
        <v>0</v>
      </c>
      <c r="K44" s="14"/>
      <c r="L44" s="13">
        <f t="shared" si="1"/>
        <v>29997.1</v>
      </c>
    </row>
    <row r="45" spans="1:12" x14ac:dyDescent="0.3">
      <c r="A45">
        <v>29</v>
      </c>
      <c r="B45" s="60" t="str">
        <f>IF(Master!$B45=0,"",Master!$B45)</f>
        <v/>
      </c>
      <c r="C45" s="61"/>
      <c r="D45" s="39" t="str">
        <f>IF(Master!$D45=0,"",Master!$D45)</f>
        <v/>
      </c>
      <c r="E45" s="11" t="str">
        <f>IF(Master!$E45=0,"",Master!$E45)</f>
        <v/>
      </c>
      <c r="F45" s="11" t="str">
        <f>IF(Master!$F45=0,"",Master!$F45)</f>
        <v>Interest Carry</v>
      </c>
      <c r="G45" s="13">
        <f>Master!G45</f>
        <v>46433.43</v>
      </c>
      <c r="H45" s="14">
        <f>'Draw 15'!H45</f>
        <v>0</v>
      </c>
      <c r="I45" s="13">
        <f t="shared" si="0"/>
        <v>46433.43</v>
      </c>
      <c r="J45" s="13">
        <f>'Draw 15'!J45+'Draw 15'!K45</f>
        <v>8561.84</v>
      </c>
      <c r="K45" s="14"/>
      <c r="L45" s="13">
        <f t="shared" si="1"/>
        <v>37871.589999999997</v>
      </c>
    </row>
    <row r="46" spans="1:12" x14ac:dyDescent="0.3">
      <c r="A46">
        <v>30</v>
      </c>
      <c r="B46" s="60" t="str">
        <f>IF(Master!$B46=0,"",Master!$B46)</f>
        <v/>
      </c>
      <c r="C46" s="61"/>
      <c r="D46" s="39" t="str">
        <f>IF(Master!$D46=0,"",Master!$D46)</f>
        <v/>
      </c>
      <c r="E46" s="11" t="str">
        <f>IF(Master!$E46=0,"",Master!$E46)</f>
        <v/>
      </c>
      <c r="F46" s="11" t="str">
        <f>IF(Master!$F46=0,"",Master!$F46)</f>
        <v>Land</v>
      </c>
      <c r="G46" s="13">
        <f>Master!G46</f>
        <v>234300</v>
      </c>
      <c r="H46" s="14">
        <f>'Draw 15'!H46</f>
        <v>0</v>
      </c>
      <c r="I46" s="13">
        <f t="shared" si="0"/>
        <v>234300</v>
      </c>
      <c r="J46" s="13">
        <f>'Draw 15'!J46+'Draw 15'!K46</f>
        <v>234300</v>
      </c>
      <c r="K46" s="14"/>
      <c r="L46" s="13">
        <f t="shared" si="1"/>
        <v>0</v>
      </c>
    </row>
    <row r="47" spans="1:12" x14ac:dyDescent="0.3">
      <c r="B47" s="79"/>
      <c r="C47" s="80"/>
      <c r="D47" s="4"/>
      <c r="E47" s="4"/>
      <c r="F47" s="12" t="s">
        <v>61</v>
      </c>
      <c r="G47" s="20">
        <f>SUM(G17:G46)</f>
        <v>1268365.72</v>
      </c>
      <c r="H47" s="20">
        <f>SUM(H17:H46)</f>
        <v>0</v>
      </c>
      <c r="I47" s="20">
        <f>SUM(I17:I46)</f>
        <v>1268365.72</v>
      </c>
      <c r="J47" s="20">
        <f t="shared" ref="J47:L47" si="2">SUM(J17:J46)</f>
        <v>1134587.94</v>
      </c>
      <c r="K47" s="20">
        <f t="shared" si="2"/>
        <v>0</v>
      </c>
      <c r="L47" s="20">
        <f t="shared" si="2"/>
        <v>133777.78</v>
      </c>
    </row>
    <row r="48" spans="1:12" x14ac:dyDescent="0.3">
      <c r="B48" s="58" t="s">
        <v>62</v>
      </c>
      <c r="C48" s="58"/>
      <c r="D48" s="58"/>
      <c r="E48" s="58"/>
      <c r="F48" s="58"/>
      <c r="G48" s="58"/>
      <c r="H48" s="58"/>
      <c r="I48" s="58"/>
      <c r="J48" s="58"/>
      <c r="K48" s="58"/>
      <c r="L48" s="58"/>
    </row>
    <row r="49" spans="1:12" x14ac:dyDescent="0.3">
      <c r="B49" s="59"/>
      <c r="C49" s="59"/>
      <c r="D49" s="59"/>
      <c r="E49" s="59"/>
      <c r="F49" s="59"/>
      <c r="G49" s="59"/>
      <c r="H49" s="59"/>
      <c r="I49" s="59"/>
      <c r="J49" s="59"/>
      <c r="K49" s="59"/>
      <c r="L49" s="59"/>
    </row>
    <row r="50" spans="1:12" x14ac:dyDescent="0.3">
      <c r="B50" s="8"/>
      <c r="C50" s="8"/>
    </row>
    <row r="51" spans="1:12" ht="15" thickBot="1" x14ac:dyDescent="0.35"/>
    <row r="52" spans="1:12" ht="42" thickBot="1" x14ac:dyDescent="0.35">
      <c r="B52" s="64" t="s">
        <v>21</v>
      </c>
      <c r="C52" s="65"/>
      <c r="D52" s="5" t="s">
        <v>22</v>
      </c>
      <c r="E52" s="1" t="s">
        <v>23</v>
      </c>
      <c r="F52" s="2" t="s">
        <v>24</v>
      </c>
      <c r="G52" s="2" t="s">
        <v>25</v>
      </c>
      <c r="H52" s="3" t="s">
        <v>26</v>
      </c>
      <c r="I52" s="2" t="s">
        <v>27</v>
      </c>
      <c r="J52" s="2" t="s">
        <v>28</v>
      </c>
      <c r="K52" s="2" t="s">
        <v>29</v>
      </c>
      <c r="L52" s="2" t="s">
        <v>30</v>
      </c>
    </row>
    <row r="53" spans="1:12" x14ac:dyDescent="0.3">
      <c r="A53">
        <v>31</v>
      </c>
      <c r="B53" s="62" t="str">
        <f>IF(Master!$B53=0,"",Master!$B53)</f>
        <v/>
      </c>
      <c r="C53" s="63"/>
      <c r="D53" s="39" t="str">
        <f>IF(Master!$D53=0,"",Master!$D53)</f>
        <v/>
      </c>
      <c r="E53" s="11" t="str">
        <f>IF(Master!$E53=0,"",Master!$E53)</f>
        <v/>
      </c>
      <c r="F53" s="11" t="str">
        <f>IF(Master!$F53=0,"",Master!$F53)</f>
        <v/>
      </c>
      <c r="G53" s="13">
        <f>Master!G53</f>
        <v>0</v>
      </c>
      <c r="H53" s="14">
        <f>'Draw 15'!H53</f>
        <v>0</v>
      </c>
      <c r="I53" s="13">
        <f t="shared" ref="I53:I82" si="3">+G53+H53</f>
        <v>0</v>
      </c>
      <c r="J53" s="13">
        <f>'Draw 15'!J53+'Draw 15'!K53</f>
        <v>0</v>
      </c>
      <c r="K53" s="14"/>
      <c r="L53" s="13">
        <f t="shared" ref="L53:L82" si="4">+I53-J53-K53</f>
        <v>0</v>
      </c>
    </row>
    <row r="54" spans="1:12" x14ac:dyDescent="0.3">
      <c r="A54">
        <v>32</v>
      </c>
      <c r="B54" s="60" t="str">
        <f>IF(Master!$B54=0,"",Master!$B54)</f>
        <v/>
      </c>
      <c r="C54" s="61"/>
      <c r="D54" s="39" t="str">
        <f>IF(Master!$D54=0,"",Master!$D54)</f>
        <v/>
      </c>
      <c r="E54" s="11" t="str">
        <f>IF(Master!$E54=0,"",Master!$E54)</f>
        <v/>
      </c>
      <c r="F54" s="11" t="str">
        <f>IF(Master!$F54=0,"",Master!$F54)</f>
        <v/>
      </c>
      <c r="G54" s="13">
        <f>Master!G54</f>
        <v>0</v>
      </c>
      <c r="H54" s="14">
        <f>'Draw 15'!H54</f>
        <v>0</v>
      </c>
      <c r="I54" s="13">
        <f t="shared" si="3"/>
        <v>0</v>
      </c>
      <c r="J54" s="13">
        <f>'Draw 15'!J54+'Draw 15'!K54</f>
        <v>0</v>
      </c>
      <c r="K54" s="14"/>
      <c r="L54" s="13">
        <f t="shared" si="4"/>
        <v>0</v>
      </c>
    </row>
    <row r="55" spans="1:12" x14ac:dyDescent="0.3">
      <c r="A55">
        <v>33</v>
      </c>
      <c r="B55" s="60" t="str">
        <f>IF(Master!$B55=0,"",Master!$B55)</f>
        <v/>
      </c>
      <c r="C55" s="61"/>
      <c r="D55" s="39" t="str">
        <f>IF(Master!$D55=0,"",Master!$D55)</f>
        <v/>
      </c>
      <c r="E55" s="11" t="str">
        <f>IF(Master!$E55=0,"",Master!$E55)</f>
        <v/>
      </c>
      <c r="F55" s="11" t="str">
        <f>IF(Master!$F55=0,"",Master!$F55)</f>
        <v/>
      </c>
      <c r="G55" s="13">
        <f>Master!G55</f>
        <v>0</v>
      </c>
      <c r="H55" s="14">
        <f>'Draw 15'!H55</f>
        <v>0</v>
      </c>
      <c r="I55" s="13">
        <f t="shared" si="3"/>
        <v>0</v>
      </c>
      <c r="J55" s="13">
        <f>'Draw 15'!J55+'Draw 15'!K55</f>
        <v>0</v>
      </c>
      <c r="K55" s="14"/>
      <c r="L55" s="13">
        <f t="shared" si="4"/>
        <v>0</v>
      </c>
    </row>
    <row r="56" spans="1:12" x14ac:dyDescent="0.3">
      <c r="A56">
        <v>34</v>
      </c>
      <c r="B56" s="60" t="str">
        <f>IF(Master!$B56=0,"",Master!$B56)</f>
        <v/>
      </c>
      <c r="C56" s="61"/>
      <c r="D56" s="39" t="str">
        <f>IF(Master!$D56=0,"",Master!$D56)</f>
        <v/>
      </c>
      <c r="E56" s="11" t="str">
        <f>IF(Master!$E56=0,"",Master!$E56)</f>
        <v/>
      </c>
      <c r="F56" s="11" t="str">
        <f>IF(Master!$F56=0,"",Master!$F56)</f>
        <v/>
      </c>
      <c r="G56" s="13">
        <f>Master!G56</f>
        <v>0</v>
      </c>
      <c r="H56" s="14">
        <f>'Draw 15'!H56</f>
        <v>0</v>
      </c>
      <c r="I56" s="13">
        <f t="shared" si="3"/>
        <v>0</v>
      </c>
      <c r="J56" s="13">
        <f>'Draw 15'!J56+'Draw 15'!K56</f>
        <v>0</v>
      </c>
      <c r="K56" s="14"/>
      <c r="L56" s="13">
        <f t="shared" si="4"/>
        <v>0</v>
      </c>
    </row>
    <row r="57" spans="1:12" x14ac:dyDescent="0.3">
      <c r="A57">
        <v>35</v>
      </c>
      <c r="B57" s="60" t="str">
        <f>IF(Master!$B57=0,"",Master!$B57)</f>
        <v/>
      </c>
      <c r="C57" s="61"/>
      <c r="D57" s="39" t="str">
        <f>IF(Master!$D57=0,"",Master!$D57)</f>
        <v/>
      </c>
      <c r="E57" s="11" t="str">
        <f>IF(Master!$E57=0,"",Master!$E57)</f>
        <v/>
      </c>
      <c r="F57" s="11" t="str">
        <f>IF(Master!$F57=0,"",Master!$F57)</f>
        <v/>
      </c>
      <c r="G57" s="13">
        <f>Master!G57</f>
        <v>0</v>
      </c>
      <c r="H57" s="14">
        <f>'Draw 15'!H57</f>
        <v>0</v>
      </c>
      <c r="I57" s="13">
        <f t="shared" si="3"/>
        <v>0</v>
      </c>
      <c r="J57" s="13">
        <f>'Draw 15'!J57+'Draw 15'!K57</f>
        <v>0</v>
      </c>
      <c r="K57" s="14"/>
      <c r="L57" s="13">
        <f t="shared" si="4"/>
        <v>0</v>
      </c>
    </row>
    <row r="58" spans="1:12" x14ac:dyDescent="0.3">
      <c r="A58">
        <v>36</v>
      </c>
      <c r="B58" s="60" t="str">
        <f>IF(Master!$B58=0,"",Master!$B58)</f>
        <v/>
      </c>
      <c r="C58" s="61"/>
      <c r="D58" s="39" t="str">
        <f>IF(Master!$D58=0,"",Master!$D58)</f>
        <v/>
      </c>
      <c r="E58" s="11" t="str">
        <f>IF(Master!$E58=0,"",Master!$E58)</f>
        <v/>
      </c>
      <c r="F58" s="11" t="str">
        <f>IF(Master!$F58=0,"",Master!$F58)</f>
        <v/>
      </c>
      <c r="G58" s="13">
        <f>Master!G58</f>
        <v>0</v>
      </c>
      <c r="H58" s="14">
        <f>'Draw 15'!H58</f>
        <v>0</v>
      </c>
      <c r="I58" s="13">
        <f t="shared" si="3"/>
        <v>0</v>
      </c>
      <c r="J58" s="13">
        <f>'Draw 15'!J58+'Draw 15'!K58</f>
        <v>0</v>
      </c>
      <c r="K58" s="14"/>
      <c r="L58" s="13">
        <f t="shared" si="4"/>
        <v>0</v>
      </c>
    </row>
    <row r="59" spans="1:12" x14ac:dyDescent="0.3">
      <c r="A59">
        <v>37</v>
      </c>
      <c r="B59" s="60" t="str">
        <f>IF(Master!$B59=0,"",Master!$B59)</f>
        <v/>
      </c>
      <c r="C59" s="61"/>
      <c r="D59" s="39" t="str">
        <f>IF(Master!$D59=0,"",Master!$D59)</f>
        <v/>
      </c>
      <c r="E59" s="11" t="str">
        <f>IF(Master!$E59=0,"",Master!$E59)</f>
        <v/>
      </c>
      <c r="F59" s="11" t="str">
        <f>IF(Master!$F59=0,"",Master!$F59)</f>
        <v/>
      </c>
      <c r="G59" s="13">
        <f>Master!G59</f>
        <v>0</v>
      </c>
      <c r="H59" s="14">
        <f>'Draw 15'!H59</f>
        <v>0</v>
      </c>
      <c r="I59" s="13">
        <f t="shared" si="3"/>
        <v>0</v>
      </c>
      <c r="J59" s="13">
        <f>'Draw 15'!J59+'Draw 15'!K59</f>
        <v>0</v>
      </c>
      <c r="K59" s="14"/>
      <c r="L59" s="13">
        <f t="shared" si="4"/>
        <v>0</v>
      </c>
    </row>
    <row r="60" spans="1:12" x14ac:dyDescent="0.3">
      <c r="A60">
        <v>38</v>
      </c>
      <c r="B60" s="60" t="str">
        <f>IF(Master!$B60=0,"",Master!$B60)</f>
        <v/>
      </c>
      <c r="C60" s="61"/>
      <c r="D60" s="39" t="str">
        <f>IF(Master!$D60=0,"",Master!$D60)</f>
        <v/>
      </c>
      <c r="E60" s="11" t="str">
        <f>IF(Master!$E60=0,"",Master!$E60)</f>
        <v/>
      </c>
      <c r="F60" s="11" t="str">
        <f>IF(Master!$F60=0,"",Master!$F60)</f>
        <v/>
      </c>
      <c r="G60" s="13">
        <f>Master!G60</f>
        <v>0</v>
      </c>
      <c r="H60" s="14">
        <f>'Draw 15'!H60</f>
        <v>0</v>
      </c>
      <c r="I60" s="13">
        <f t="shared" si="3"/>
        <v>0</v>
      </c>
      <c r="J60" s="13">
        <f>'Draw 15'!J60+'Draw 15'!K60</f>
        <v>0</v>
      </c>
      <c r="K60" s="14"/>
      <c r="L60" s="13">
        <f t="shared" si="4"/>
        <v>0</v>
      </c>
    </row>
    <row r="61" spans="1:12" x14ac:dyDescent="0.3">
      <c r="A61">
        <v>39</v>
      </c>
      <c r="B61" s="60" t="str">
        <f>IF(Master!$B61=0,"",Master!$B61)</f>
        <v/>
      </c>
      <c r="C61" s="61"/>
      <c r="D61" s="39" t="str">
        <f>IF(Master!$D61=0,"",Master!$D61)</f>
        <v/>
      </c>
      <c r="E61" s="11" t="str">
        <f>IF(Master!$E61=0,"",Master!$E61)</f>
        <v/>
      </c>
      <c r="F61" s="11" t="str">
        <f>IF(Master!$F61=0,"",Master!$F61)</f>
        <v/>
      </c>
      <c r="G61" s="13">
        <f>Master!G61</f>
        <v>0</v>
      </c>
      <c r="H61" s="14">
        <f>'Draw 15'!H61</f>
        <v>0</v>
      </c>
      <c r="I61" s="13">
        <f t="shared" si="3"/>
        <v>0</v>
      </c>
      <c r="J61" s="13">
        <f>'Draw 15'!J61+'Draw 15'!K61</f>
        <v>0</v>
      </c>
      <c r="K61" s="14"/>
      <c r="L61" s="13">
        <f t="shared" si="4"/>
        <v>0</v>
      </c>
    </row>
    <row r="62" spans="1:12" x14ac:dyDescent="0.3">
      <c r="A62">
        <v>40</v>
      </c>
      <c r="B62" s="60" t="str">
        <f>IF(Master!$B62=0,"",Master!$B62)</f>
        <v/>
      </c>
      <c r="C62" s="61"/>
      <c r="D62" s="39" t="str">
        <f>IF(Master!$D62=0,"",Master!$D62)</f>
        <v/>
      </c>
      <c r="E62" s="11" t="str">
        <f>IF(Master!$E62=0,"",Master!$E62)</f>
        <v/>
      </c>
      <c r="F62" s="11" t="str">
        <f>IF(Master!$F62=0,"",Master!$F62)</f>
        <v/>
      </c>
      <c r="G62" s="13">
        <f>Master!G62</f>
        <v>0</v>
      </c>
      <c r="H62" s="14">
        <f>'Draw 15'!H62</f>
        <v>0</v>
      </c>
      <c r="I62" s="13">
        <f t="shared" si="3"/>
        <v>0</v>
      </c>
      <c r="J62" s="13">
        <f>'Draw 15'!J62+'Draw 15'!K62</f>
        <v>0</v>
      </c>
      <c r="K62" s="14"/>
      <c r="L62" s="13">
        <f t="shared" si="4"/>
        <v>0</v>
      </c>
    </row>
    <row r="63" spans="1:12" x14ac:dyDescent="0.3">
      <c r="A63">
        <v>41</v>
      </c>
      <c r="B63" s="60" t="str">
        <f>IF(Master!$B63=0,"",Master!$B63)</f>
        <v/>
      </c>
      <c r="C63" s="61"/>
      <c r="D63" s="39" t="str">
        <f>IF(Master!$D63=0,"",Master!$D63)</f>
        <v/>
      </c>
      <c r="E63" s="11" t="str">
        <f>IF(Master!$E63=0,"",Master!$E63)</f>
        <v/>
      </c>
      <c r="F63" s="11" t="str">
        <f>IF(Master!$F63=0,"",Master!$F63)</f>
        <v/>
      </c>
      <c r="G63" s="13">
        <f>Master!G63</f>
        <v>0</v>
      </c>
      <c r="H63" s="14">
        <f>'Draw 15'!H63</f>
        <v>0</v>
      </c>
      <c r="I63" s="13">
        <f t="shared" si="3"/>
        <v>0</v>
      </c>
      <c r="J63" s="13">
        <f>'Draw 15'!J63+'Draw 15'!K63</f>
        <v>0</v>
      </c>
      <c r="K63" s="14"/>
      <c r="L63" s="13">
        <f t="shared" si="4"/>
        <v>0</v>
      </c>
    </row>
    <row r="64" spans="1:12" x14ac:dyDescent="0.3">
      <c r="A64">
        <v>42</v>
      </c>
      <c r="B64" s="60" t="str">
        <f>IF(Master!$B64=0,"",Master!$B64)</f>
        <v/>
      </c>
      <c r="C64" s="61"/>
      <c r="D64" s="39" t="str">
        <f>IF(Master!$D64=0,"",Master!$D64)</f>
        <v/>
      </c>
      <c r="E64" s="11" t="str">
        <f>IF(Master!$E64=0,"",Master!$E64)</f>
        <v/>
      </c>
      <c r="F64" s="11" t="str">
        <f>IF(Master!$F64=0,"",Master!$F64)</f>
        <v/>
      </c>
      <c r="G64" s="13">
        <f>Master!G64</f>
        <v>0</v>
      </c>
      <c r="H64" s="14">
        <f>'Draw 15'!H64</f>
        <v>0</v>
      </c>
      <c r="I64" s="13">
        <f t="shared" si="3"/>
        <v>0</v>
      </c>
      <c r="J64" s="13">
        <f>'Draw 15'!J64+'Draw 15'!K64</f>
        <v>0</v>
      </c>
      <c r="K64" s="14"/>
      <c r="L64" s="13">
        <f t="shared" si="4"/>
        <v>0</v>
      </c>
    </row>
    <row r="65" spans="1:12" x14ac:dyDescent="0.3">
      <c r="A65">
        <v>43</v>
      </c>
      <c r="B65" s="60" t="str">
        <f>IF(Master!$B65=0,"",Master!$B65)</f>
        <v/>
      </c>
      <c r="C65" s="61"/>
      <c r="D65" s="39" t="str">
        <f>IF(Master!$D65=0,"",Master!$D65)</f>
        <v/>
      </c>
      <c r="E65" s="11" t="str">
        <f>IF(Master!$E65=0,"",Master!$E65)</f>
        <v/>
      </c>
      <c r="F65" s="11" t="str">
        <f>IF(Master!$F65=0,"",Master!$F65)</f>
        <v/>
      </c>
      <c r="G65" s="13">
        <f>Master!G65</f>
        <v>0</v>
      </c>
      <c r="H65" s="14">
        <f>'Draw 15'!H65</f>
        <v>0</v>
      </c>
      <c r="I65" s="13">
        <f t="shared" si="3"/>
        <v>0</v>
      </c>
      <c r="J65" s="13">
        <f>'Draw 15'!J65+'Draw 15'!K65</f>
        <v>0</v>
      </c>
      <c r="K65" s="14"/>
      <c r="L65" s="13">
        <f t="shared" si="4"/>
        <v>0</v>
      </c>
    </row>
    <row r="66" spans="1:12" x14ac:dyDescent="0.3">
      <c r="A66">
        <v>44</v>
      </c>
      <c r="B66" s="60" t="str">
        <f>IF(Master!$B66=0,"",Master!$B66)</f>
        <v/>
      </c>
      <c r="C66" s="61"/>
      <c r="D66" s="39" t="str">
        <f>IF(Master!$D66=0,"",Master!$D66)</f>
        <v/>
      </c>
      <c r="E66" s="11" t="str">
        <f>IF(Master!$E66=0,"",Master!$E66)</f>
        <v/>
      </c>
      <c r="F66" s="11" t="str">
        <f>IF(Master!$F66=0,"",Master!$F66)</f>
        <v/>
      </c>
      <c r="G66" s="13">
        <f>Master!G66</f>
        <v>0</v>
      </c>
      <c r="H66" s="14">
        <f>'Draw 15'!H66</f>
        <v>0</v>
      </c>
      <c r="I66" s="13">
        <f t="shared" si="3"/>
        <v>0</v>
      </c>
      <c r="J66" s="13">
        <f>'Draw 15'!J66+'Draw 15'!K66</f>
        <v>0</v>
      </c>
      <c r="K66" s="14"/>
      <c r="L66" s="13">
        <f t="shared" si="4"/>
        <v>0</v>
      </c>
    </row>
    <row r="67" spans="1:12" x14ac:dyDescent="0.3">
      <c r="A67">
        <v>45</v>
      </c>
      <c r="B67" s="60" t="str">
        <f>IF(Master!$B67=0,"",Master!$B67)</f>
        <v/>
      </c>
      <c r="C67" s="61"/>
      <c r="D67" s="39" t="str">
        <f>IF(Master!$D67=0,"",Master!$D67)</f>
        <v/>
      </c>
      <c r="E67" s="11" t="str">
        <f>IF(Master!$E67=0,"",Master!$E67)</f>
        <v/>
      </c>
      <c r="F67" s="11" t="str">
        <f>IF(Master!$F67=0,"",Master!$F67)</f>
        <v/>
      </c>
      <c r="G67" s="13">
        <f>Master!G67</f>
        <v>0</v>
      </c>
      <c r="H67" s="14">
        <f>'Draw 15'!H67</f>
        <v>0</v>
      </c>
      <c r="I67" s="13">
        <f t="shared" si="3"/>
        <v>0</v>
      </c>
      <c r="J67" s="13">
        <f>'Draw 15'!J67+'Draw 15'!K67</f>
        <v>0</v>
      </c>
      <c r="K67" s="14"/>
      <c r="L67" s="13">
        <f t="shared" si="4"/>
        <v>0</v>
      </c>
    </row>
    <row r="68" spans="1:12" x14ac:dyDescent="0.3">
      <c r="A68">
        <v>46</v>
      </c>
      <c r="B68" s="60" t="str">
        <f>IF(Master!$B68=0,"",Master!$B68)</f>
        <v/>
      </c>
      <c r="C68" s="61"/>
      <c r="D68" s="39" t="str">
        <f>IF(Master!$D68=0,"",Master!$D68)</f>
        <v/>
      </c>
      <c r="E68" s="11" t="str">
        <f>IF(Master!$E68=0,"",Master!$E68)</f>
        <v/>
      </c>
      <c r="F68" s="11" t="str">
        <f>IF(Master!$F68=0,"",Master!$F68)</f>
        <v/>
      </c>
      <c r="G68" s="13">
        <f>Master!G68</f>
        <v>0</v>
      </c>
      <c r="H68" s="14">
        <f>'Draw 15'!H68</f>
        <v>0</v>
      </c>
      <c r="I68" s="13">
        <f t="shared" si="3"/>
        <v>0</v>
      </c>
      <c r="J68" s="13">
        <f>'Draw 15'!J68+'Draw 15'!K68</f>
        <v>0</v>
      </c>
      <c r="K68" s="14"/>
      <c r="L68" s="13">
        <f t="shared" si="4"/>
        <v>0</v>
      </c>
    </row>
    <row r="69" spans="1:12" x14ac:dyDescent="0.3">
      <c r="A69">
        <v>47</v>
      </c>
      <c r="B69" s="60" t="str">
        <f>IF(Master!$B69=0,"",Master!$B69)</f>
        <v/>
      </c>
      <c r="C69" s="61"/>
      <c r="D69" s="39" t="str">
        <f>IF(Master!$D69=0,"",Master!$D69)</f>
        <v/>
      </c>
      <c r="E69" s="11" t="str">
        <f>IF(Master!$E69=0,"",Master!$E69)</f>
        <v/>
      </c>
      <c r="F69" s="11" t="str">
        <f>IF(Master!$F69=0,"",Master!$F69)</f>
        <v/>
      </c>
      <c r="G69" s="13">
        <f>Master!G69</f>
        <v>0</v>
      </c>
      <c r="H69" s="14">
        <f>'Draw 15'!H69</f>
        <v>0</v>
      </c>
      <c r="I69" s="13">
        <f t="shared" si="3"/>
        <v>0</v>
      </c>
      <c r="J69" s="13">
        <f>'Draw 15'!J69+'Draw 15'!K69</f>
        <v>0</v>
      </c>
      <c r="K69" s="14"/>
      <c r="L69" s="13">
        <f t="shared" si="4"/>
        <v>0</v>
      </c>
    </row>
    <row r="70" spans="1:12" x14ac:dyDescent="0.3">
      <c r="A70">
        <v>48</v>
      </c>
      <c r="B70" s="60" t="str">
        <f>IF(Master!$B70=0,"",Master!$B70)</f>
        <v/>
      </c>
      <c r="C70" s="61"/>
      <c r="D70" s="39" t="str">
        <f>IF(Master!$D70=0,"",Master!$D70)</f>
        <v/>
      </c>
      <c r="E70" s="11" t="str">
        <f>IF(Master!$E70=0,"",Master!$E70)</f>
        <v/>
      </c>
      <c r="F70" s="11" t="str">
        <f>IF(Master!$F70=0,"",Master!$F70)</f>
        <v/>
      </c>
      <c r="G70" s="13">
        <f>Master!G70</f>
        <v>0</v>
      </c>
      <c r="H70" s="14">
        <f>'Draw 15'!H70</f>
        <v>0</v>
      </c>
      <c r="I70" s="13">
        <f t="shared" si="3"/>
        <v>0</v>
      </c>
      <c r="J70" s="13">
        <f>'Draw 15'!J70+'Draw 15'!K70</f>
        <v>0</v>
      </c>
      <c r="K70" s="14"/>
      <c r="L70" s="13">
        <f t="shared" si="4"/>
        <v>0</v>
      </c>
    </row>
    <row r="71" spans="1:12" x14ac:dyDescent="0.3">
      <c r="A71">
        <v>49</v>
      </c>
      <c r="B71" s="60" t="str">
        <f>IF(Master!$B71=0,"",Master!$B71)</f>
        <v/>
      </c>
      <c r="C71" s="61"/>
      <c r="D71" s="39" t="str">
        <f>IF(Master!$D71=0,"",Master!$D71)</f>
        <v/>
      </c>
      <c r="E71" s="11" t="str">
        <f>IF(Master!$E71=0,"",Master!$E71)</f>
        <v/>
      </c>
      <c r="F71" s="11" t="str">
        <f>IF(Master!$F71=0,"",Master!$F71)</f>
        <v/>
      </c>
      <c r="G71" s="13">
        <f>Master!G71</f>
        <v>0</v>
      </c>
      <c r="H71" s="14">
        <f>'Draw 15'!H71</f>
        <v>0</v>
      </c>
      <c r="I71" s="13">
        <f t="shared" si="3"/>
        <v>0</v>
      </c>
      <c r="J71" s="13">
        <f>'Draw 15'!J71+'Draw 15'!K71</f>
        <v>0</v>
      </c>
      <c r="K71" s="14"/>
      <c r="L71" s="13">
        <f t="shared" si="4"/>
        <v>0</v>
      </c>
    </row>
    <row r="72" spans="1:12" x14ac:dyDescent="0.3">
      <c r="A72">
        <v>50</v>
      </c>
      <c r="B72" s="60" t="str">
        <f>IF(Master!$B72=0,"",Master!$B72)</f>
        <v/>
      </c>
      <c r="C72" s="61"/>
      <c r="D72" s="39" t="str">
        <f>IF(Master!$D72=0,"",Master!$D72)</f>
        <v/>
      </c>
      <c r="E72" s="11" t="str">
        <f>IF(Master!$E72=0,"",Master!$E72)</f>
        <v/>
      </c>
      <c r="F72" s="11" t="str">
        <f>IF(Master!$F72=0,"",Master!$F72)</f>
        <v/>
      </c>
      <c r="G72" s="13">
        <f>Master!G72</f>
        <v>0</v>
      </c>
      <c r="H72" s="14">
        <f>'Draw 15'!H72</f>
        <v>0</v>
      </c>
      <c r="I72" s="13">
        <f t="shared" si="3"/>
        <v>0</v>
      </c>
      <c r="J72" s="13">
        <f>'Draw 15'!J72+'Draw 15'!K72</f>
        <v>0</v>
      </c>
      <c r="K72" s="14"/>
      <c r="L72" s="13">
        <f t="shared" si="4"/>
        <v>0</v>
      </c>
    </row>
    <row r="73" spans="1:12" x14ac:dyDescent="0.3">
      <c r="A73">
        <v>51</v>
      </c>
      <c r="B73" s="60" t="str">
        <f>IF(Master!$B73=0,"",Master!$B73)</f>
        <v/>
      </c>
      <c r="C73" s="61"/>
      <c r="D73" s="39" t="str">
        <f>IF(Master!$D73=0,"",Master!$D73)</f>
        <v/>
      </c>
      <c r="E73" s="11" t="str">
        <f>IF(Master!$E73=0,"",Master!$E73)</f>
        <v/>
      </c>
      <c r="F73" s="11" t="str">
        <f>IF(Master!$F73=0,"",Master!$F73)</f>
        <v/>
      </c>
      <c r="G73" s="13">
        <f>Master!G73</f>
        <v>0</v>
      </c>
      <c r="H73" s="14">
        <f>'Draw 15'!H73</f>
        <v>0</v>
      </c>
      <c r="I73" s="13">
        <f t="shared" si="3"/>
        <v>0</v>
      </c>
      <c r="J73" s="13">
        <f>'Draw 15'!J73+'Draw 15'!K73</f>
        <v>0</v>
      </c>
      <c r="K73" s="14"/>
      <c r="L73" s="13">
        <f t="shared" si="4"/>
        <v>0</v>
      </c>
    </row>
    <row r="74" spans="1:12" x14ac:dyDescent="0.3">
      <c r="A74">
        <v>52</v>
      </c>
      <c r="B74" s="60" t="str">
        <f>IF(Master!$B74=0,"",Master!$B74)</f>
        <v/>
      </c>
      <c r="C74" s="61"/>
      <c r="D74" s="39" t="str">
        <f>IF(Master!$D74=0,"",Master!$D74)</f>
        <v/>
      </c>
      <c r="E74" s="11" t="str">
        <f>IF(Master!$E74=0,"",Master!$E74)</f>
        <v/>
      </c>
      <c r="F74" s="11" t="str">
        <f>IF(Master!$F74=0,"",Master!$F74)</f>
        <v/>
      </c>
      <c r="G74" s="13">
        <f>Master!G74</f>
        <v>0</v>
      </c>
      <c r="H74" s="14">
        <f>'Draw 15'!H74</f>
        <v>0</v>
      </c>
      <c r="I74" s="13">
        <f t="shared" si="3"/>
        <v>0</v>
      </c>
      <c r="J74" s="13">
        <f>'Draw 15'!J74+'Draw 15'!K74</f>
        <v>0</v>
      </c>
      <c r="K74" s="14"/>
      <c r="L74" s="13">
        <f t="shared" si="4"/>
        <v>0</v>
      </c>
    </row>
    <row r="75" spans="1:12" x14ac:dyDescent="0.3">
      <c r="A75">
        <v>53</v>
      </c>
      <c r="B75" s="60" t="str">
        <f>IF(Master!$B75=0,"",Master!$B75)</f>
        <v/>
      </c>
      <c r="C75" s="61"/>
      <c r="D75" s="39" t="str">
        <f>IF(Master!$D75=0,"",Master!$D75)</f>
        <v/>
      </c>
      <c r="E75" s="11" t="str">
        <f>IF(Master!$E75=0,"",Master!$E75)</f>
        <v/>
      </c>
      <c r="F75" s="11" t="str">
        <f>IF(Master!$F75=0,"",Master!$F75)</f>
        <v/>
      </c>
      <c r="G75" s="13">
        <f>Master!G75</f>
        <v>0</v>
      </c>
      <c r="H75" s="14">
        <f>'Draw 15'!H75</f>
        <v>0</v>
      </c>
      <c r="I75" s="13">
        <f t="shared" si="3"/>
        <v>0</v>
      </c>
      <c r="J75" s="13">
        <f>'Draw 15'!J75+'Draw 15'!K75</f>
        <v>0</v>
      </c>
      <c r="K75" s="14"/>
      <c r="L75" s="13">
        <f t="shared" si="4"/>
        <v>0</v>
      </c>
    </row>
    <row r="76" spans="1:12" x14ac:dyDescent="0.3">
      <c r="A76">
        <v>54</v>
      </c>
      <c r="B76" s="60" t="str">
        <f>IF(Master!$B76=0,"",Master!$B76)</f>
        <v/>
      </c>
      <c r="C76" s="61"/>
      <c r="D76" s="39" t="str">
        <f>IF(Master!$D76=0,"",Master!$D76)</f>
        <v/>
      </c>
      <c r="E76" s="11" t="str">
        <f>IF(Master!$E76=0,"",Master!$E76)</f>
        <v/>
      </c>
      <c r="F76" s="11" t="str">
        <f>IF(Master!$F76=0,"",Master!$F76)</f>
        <v/>
      </c>
      <c r="G76" s="13">
        <f>Master!G76</f>
        <v>0</v>
      </c>
      <c r="H76" s="14">
        <f>'Draw 15'!H76</f>
        <v>0</v>
      </c>
      <c r="I76" s="13">
        <f t="shared" si="3"/>
        <v>0</v>
      </c>
      <c r="J76" s="13">
        <f>'Draw 15'!J76+'Draw 15'!K76</f>
        <v>0</v>
      </c>
      <c r="K76" s="14"/>
      <c r="L76" s="13">
        <f t="shared" si="4"/>
        <v>0</v>
      </c>
    </row>
    <row r="77" spans="1:12" x14ac:dyDescent="0.3">
      <c r="A77">
        <v>55</v>
      </c>
      <c r="B77" s="60" t="str">
        <f>IF(Master!$B77=0,"",Master!$B77)</f>
        <v/>
      </c>
      <c r="C77" s="61"/>
      <c r="D77" s="39" t="str">
        <f>IF(Master!$D77=0,"",Master!$D77)</f>
        <v/>
      </c>
      <c r="E77" s="11" t="str">
        <f>IF(Master!$E77=0,"",Master!$E77)</f>
        <v/>
      </c>
      <c r="F77" s="11" t="str">
        <f>IF(Master!$F77=0,"",Master!$F77)</f>
        <v/>
      </c>
      <c r="G77" s="13">
        <f>Master!G77</f>
        <v>0</v>
      </c>
      <c r="H77" s="14">
        <f>'Draw 15'!H77</f>
        <v>0</v>
      </c>
      <c r="I77" s="13">
        <f t="shared" si="3"/>
        <v>0</v>
      </c>
      <c r="J77" s="13">
        <f>'Draw 15'!J77+'Draw 15'!K77</f>
        <v>0</v>
      </c>
      <c r="K77" s="14"/>
      <c r="L77" s="13">
        <f t="shared" si="4"/>
        <v>0</v>
      </c>
    </row>
    <row r="78" spans="1:12" x14ac:dyDescent="0.3">
      <c r="A78">
        <v>56</v>
      </c>
      <c r="B78" s="60" t="str">
        <f>IF(Master!$B78=0,"",Master!$B78)</f>
        <v/>
      </c>
      <c r="C78" s="61"/>
      <c r="D78" s="39" t="str">
        <f>IF(Master!$D78=0,"",Master!$D78)</f>
        <v/>
      </c>
      <c r="E78" s="11" t="str">
        <f>IF(Master!$E78=0,"",Master!$E78)</f>
        <v/>
      </c>
      <c r="F78" s="11" t="str">
        <f>IF(Master!$F78=0,"",Master!$F78)</f>
        <v/>
      </c>
      <c r="G78" s="13">
        <f>Master!G78</f>
        <v>0</v>
      </c>
      <c r="H78" s="14">
        <f>'Draw 15'!H78</f>
        <v>0</v>
      </c>
      <c r="I78" s="13">
        <f t="shared" si="3"/>
        <v>0</v>
      </c>
      <c r="J78" s="13">
        <f>'Draw 15'!J78+'Draw 15'!K78</f>
        <v>0</v>
      </c>
      <c r="K78" s="14"/>
      <c r="L78" s="13">
        <f t="shared" si="4"/>
        <v>0</v>
      </c>
    </row>
    <row r="79" spans="1:12" x14ac:dyDescent="0.3">
      <c r="A79">
        <v>57</v>
      </c>
      <c r="B79" s="60" t="str">
        <f>IF(Master!$B79=0,"",Master!$B79)</f>
        <v/>
      </c>
      <c r="C79" s="61"/>
      <c r="D79" s="39" t="str">
        <f>IF(Master!$D79=0,"",Master!$D79)</f>
        <v/>
      </c>
      <c r="E79" s="11" t="str">
        <f>IF(Master!$E79=0,"",Master!$E79)</f>
        <v/>
      </c>
      <c r="F79" s="11" t="str">
        <f>IF(Master!$F79=0,"",Master!$F79)</f>
        <v/>
      </c>
      <c r="G79" s="13">
        <f>Master!G79</f>
        <v>0</v>
      </c>
      <c r="H79" s="14">
        <f>'Draw 15'!H79</f>
        <v>0</v>
      </c>
      <c r="I79" s="13">
        <f t="shared" si="3"/>
        <v>0</v>
      </c>
      <c r="J79" s="13">
        <f>'Draw 15'!J79+'Draw 15'!K79</f>
        <v>0</v>
      </c>
      <c r="K79" s="14"/>
      <c r="L79" s="13">
        <f t="shared" si="4"/>
        <v>0</v>
      </c>
    </row>
    <row r="80" spans="1:12" x14ac:dyDescent="0.3">
      <c r="A80">
        <v>58</v>
      </c>
      <c r="B80" s="60" t="str">
        <f>IF(Master!$B80=0,"",Master!$B80)</f>
        <v/>
      </c>
      <c r="C80" s="61"/>
      <c r="D80" s="39" t="str">
        <f>IF(Master!$D80=0,"",Master!$D80)</f>
        <v/>
      </c>
      <c r="E80" s="11" t="str">
        <f>IF(Master!$E80=0,"",Master!$E80)</f>
        <v/>
      </c>
      <c r="F80" s="11" t="str">
        <f>IF(Master!$F80=0,"",Master!$F80)</f>
        <v/>
      </c>
      <c r="G80" s="13">
        <f>Master!G80</f>
        <v>0</v>
      </c>
      <c r="H80" s="14">
        <f>'Draw 15'!H80</f>
        <v>0</v>
      </c>
      <c r="I80" s="13">
        <f t="shared" si="3"/>
        <v>0</v>
      </c>
      <c r="J80" s="13">
        <f>'Draw 15'!J80+'Draw 15'!K80</f>
        <v>0</v>
      </c>
      <c r="K80" s="14"/>
      <c r="L80" s="13">
        <f t="shared" si="4"/>
        <v>0</v>
      </c>
    </row>
    <row r="81" spans="1:12" x14ac:dyDescent="0.3">
      <c r="A81">
        <v>59</v>
      </c>
      <c r="B81" s="60" t="str">
        <f>IF(Master!$B81=0,"",Master!$B81)</f>
        <v/>
      </c>
      <c r="C81" s="61"/>
      <c r="D81" s="39" t="str">
        <f>IF(Master!$D81=0,"",Master!$D81)</f>
        <v/>
      </c>
      <c r="E81" s="11" t="str">
        <f>IF(Master!$E81=0,"",Master!$E81)</f>
        <v/>
      </c>
      <c r="F81" s="11" t="str">
        <f>IF(Master!$F81=0,"",Master!$F81)</f>
        <v/>
      </c>
      <c r="G81" s="13">
        <f>Master!G81</f>
        <v>0</v>
      </c>
      <c r="H81" s="14">
        <f>'Draw 15'!H81</f>
        <v>0</v>
      </c>
      <c r="I81" s="13">
        <f t="shared" si="3"/>
        <v>0</v>
      </c>
      <c r="J81" s="13">
        <f>'Draw 15'!J81+'Draw 15'!K81</f>
        <v>0</v>
      </c>
      <c r="K81" s="14"/>
      <c r="L81" s="13">
        <f t="shared" si="4"/>
        <v>0</v>
      </c>
    </row>
    <row r="82" spans="1:12" x14ac:dyDescent="0.3">
      <c r="A82">
        <v>60</v>
      </c>
      <c r="B82" s="60" t="str">
        <f>IF(Master!$B82=0,"",Master!$B82)</f>
        <v/>
      </c>
      <c r="C82" s="61"/>
      <c r="D82" s="39" t="str">
        <f>IF(Master!$D82=0,"",Master!$D82)</f>
        <v/>
      </c>
      <c r="E82" s="11" t="str">
        <f>IF(Master!$E82=0,"",Master!$E82)</f>
        <v/>
      </c>
      <c r="F82" s="11" t="str">
        <f>IF(Master!$F82=0,"",Master!$F82)</f>
        <v/>
      </c>
      <c r="G82" s="13">
        <f>Master!G82</f>
        <v>0</v>
      </c>
      <c r="H82" s="14">
        <f>'Draw 15'!H82</f>
        <v>0</v>
      </c>
      <c r="I82" s="13">
        <f t="shared" si="3"/>
        <v>0</v>
      </c>
      <c r="J82" s="13">
        <f>'Draw 15'!J82+'Draw 15'!K82</f>
        <v>0</v>
      </c>
      <c r="K82" s="14"/>
      <c r="L82" s="13">
        <f t="shared" si="4"/>
        <v>0</v>
      </c>
    </row>
    <row r="83" spans="1:12" x14ac:dyDescent="0.3">
      <c r="B83" s="79"/>
      <c r="C83" s="80"/>
      <c r="D83" s="4"/>
      <c r="E83" s="4"/>
      <c r="F83" s="12" t="s">
        <v>78</v>
      </c>
      <c r="G83" s="20">
        <f>SUM(G53:G82)+G47</f>
        <v>1268365.72</v>
      </c>
      <c r="H83" s="20">
        <f>SUM(H53:H82)+H47</f>
        <v>0</v>
      </c>
      <c r="I83" s="20">
        <f t="shared" ref="I83:L83" si="5">SUM(I53:I82)+I47</f>
        <v>1268365.72</v>
      </c>
      <c r="J83" s="20">
        <f t="shared" si="5"/>
        <v>1134587.94</v>
      </c>
      <c r="K83" s="20">
        <f t="shared" si="5"/>
        <v>0</v>
      </c>
      <c r="L83" s="20">
        <f t="shared" si="5"/>
        <v>133777.78</v>
      </c>
    </row>
    <row r="84" spans="1:12" x14ac:dyDescent="0.3">
      <c r="B84" s="16" t="s">
        <v>79</v>
      </c>
      <c r="C84" s="18"/>
    </row>
    <row r="85" spans="1:12" x14ac:dyDescent="0.3">
      <c r="B85" s="38" t="s">
        <v>80</v>
      </c>
      <c r="C85" s="19"/>
    </row>
    <row r="86" spans="1:12" x14ac:dyDescent="0.3">
      <c r="B86" s="16" t="s">
        <v>81</v>
      </c>
      <c r="C86" s="18"/>
    </row>
    <row r="87" spans="1:12" x14ac:dyDescent="0.3">
      <c r="B87" s="16" t="s">
        <v>82</v>
      </c>
      <c r="C87" s="18"/>
    </row>
    <row r="88" spans="1:12" x14ac:dyDescent="0.3">
      <c r="B88" s="16" t="s">
        <v>83</v>
      </c>
      <c r="C88" s="18"/>
    </row>
    <row r="89" spans="1:12" x14ac:dyDescent="0.3">
      <c r="B89" s="16" t="s">
        <v>84</v>
      </c>
      <c r="C89" s="18"/>
    </row>
    <row r="92" spans="1:12" x14ac:dyDescent="0.3">
      <c r="B92" s="7"/>
      <c r="C92" s="7"/>
      <c r="D92" s="7" t="str">
        <f>'Example of Residential SS'!D92</f>
        <v/>
      </c>
      <c r="F92" s="9"/>
    </row>
    <row r="93" spans="1:12" x14ac:dyDescent="0.3">
      <c r="D93" s="6" t="s">
        <v>85</v>
      </c>
      <c r="F93" s="10" t="s">
        <v>86</v>
      </c>
    </row>
    <row r="95" spans="1:12" x14ac:dyDescent="0.3">
      <c r="B95" s="18" t="s">
        <v>87</v>
      </c>
      <c r="C95" s="18"/>
    </row>
    <row r="96" spans="1:12" x14ac:dyDescent="0.3">
      <c r="B96" s="18" t="s">
        <v>88</v>
      </c>
      <c r="C96" s="18"/>
    </row>
    <row r="99" spans="3:12" x14ac:dyDescent="0.3">
      <c r="C99" s="6" t="s">
        <v>89</v>
      </c>
      <c r="D99" s="7"/>
      <c r="E99" t="s">
        <v>90</v>
      </c>
      <c r="F99" s="9"/>
      <c r="G99" s="7"/>
    </row>
    <row r="101" spans="3:12" x14ac:dyDescent="0.3">
      <c r="C101" s="6" t="s">
        <v>92</v>
      </c>
      <c r="D101" s="7"/>
      <c r="E101" t="s">
        <v>93</v>
      </c>
    </row>
    <row r="103" spans="3:12" x14ac:dyDescent="0.3">
      <c r="C103" s="6" t="s">
        <v>94</v>
      </c>
      <c r="D103" s="7"/>
      <c r="L103" s="6" t="str">
        <f>IF('Example of Residential SS'!L103=0,"",'Example of Residential SS'!L103)</f>
        <v/>
      </c>
    </row>
    <row r="106" spans="3:12" x14ac:dyDescent="0.3">
      <c r="D106" s="18"/>
    </row>
    <row r="107" spans="3:12" x14ac:dyDescent="0.3">
      <c r="D107" s="19"/>
    </row>
    <row r="108" spans="3:12" x14ac:dyDescent="0.3">
      <c r="D108" s="18"/>
    </row>
    <row r="109" spans="3:12" x14ac:dyDescent="0.3">
      <c r="D109" s="18"/>
    </row>
    <row r="110" spans="3:12" x14ac:dyDescent="0.3">
      <c r="D110" s="18"/>
    </row>
    <row r="111" spans="3:12" x14ac:dyDescent="0.3">
      <c r="D111" s="18"/>
    </row>
  </sheetData>
  <sheetProtection password="CB6C" sheet="1" objects="1" scenarios="1" selectLockedCells="1"/>
  <mergeCells count="76">
    <mergeCell ref="B80:C80"/>
    <mergeCell ref="B81:C81"/>
    <mergeCell ref="B82:C82"/>
    <mergeCell ref="B83:C83"/>
    <mergeCell ref="B74:C74"/>
    <mergeCell ref="B75:C75"/>
    <mergeCell ref="B76:C76"/>
    <mergeCell ref="B77:C77"/>
    <mergeCell ref="B78:C78"/>
    <mergeCell ref="B79:C79"/>
    <mergeCell ref="B73:C73"/>
    <mergeCell ref="B62:C62"/>
    <mergeCell ref="B63:C63"/>
    <mergeCell ref="B64:C64"/>
    <mergeCell ref="B65:C65"/>
    <mergeCell ref="B66:C66"/>
    <mergeCell ref="B67:C67"/>
    <mergeCell ref="B68:C68"/>
    <mergeCell ref="B69:C69"/>
    <mergeCell ref="B70:C70"/>
    <mergeCell ref="B71:C71"/>
    <mergeCell ref="B72:C72"/>
    <mergeCell ref="B61:C61"/>
    <mergeCell ref="B47:C47"/>
    <mergeCell ref="B48:L49"/>
    <mergeCell ref="B52:C52"/>
    <mergeCell ref="B53:C53"/>
    <mergeCell ref="B54:C54"/>
    <mergeCell ref="B55:C55"/>
    <mergeCell ref="B56:C56"/>
    <mergeCell ref="B57:C57"/>
    <mergeCell ref="B58:C58"/>
    <mergeCell ref="B59:C59"/>
    <mergeCell ref="B60:C60"/>
    <mergeCell ref="B46:C46"/>
    <mergeCell ref="B35:C35"/>
    <mergeCell ref="B36:C36"/>
    <mergeCell ref="B37:C37"/>
    <mergeCell ref="B38:C38"/>
    <mergeCell ref="B39:C39"/>
    <mergeCell ref="B40:C40"/>
    <mergeCell ref="B41:C41"/>
    <mergeCell ref="B42:C42"/>
    <mergeCell ref="B43:C43"/>
    <mergeCell ref="B44:C44"/>
    <mergeCell ref="B45:C45"/>
    <mergeCell ref="B34:C34"/>
    <mergeCell ref="B23:C23"/>
    <mergeCell ref="B24:C24"/>
    <mergeCell ref="B25:C25"/>
    <mergeCell ref="B26:C26"/>
    <mergeCell ref="B27:C27"/>
    <mergeCell ref="B28:C28"/>
    <mergeCell ref="B29:C29"/>
    <mergeCell ref="B30:C30"/>
    <mergeCell ref="B31:C31"/>
    <mergeCell ref="B32:C32"/>
    <mergeCell ref="B33:C33"/>
    <mergeCell ref="B22:C22"/>
    <mergeCell ref="B7:C7"/>
    <mergeCell ref="G7:L14"/>
    <mergeCell ref="B11:C11"/>
    <mergeCell ref="B12:C12"/>
    <mergeCell ref="B14:F14"/>
    <mergeCell ref="B16:C16"/>
    <mergeCell ref="B17:C17"/>
    <mergeCell ref="B18:C18"/>
    <mergeCell ref="B19:C19"/>
    <mergeCell ref="B20:C20"/>
    <mergeCell ref="B21:C21"/>
    <mergeCell ref="A1:L1"/>
    <mergeCell ref="C3:D3"/>
    <mergeCell ref="G3:I3"/>
    <mergeCell ref="G4:I4"/>
    <mergeCell ref="C5:D5"/>
    <mergeCell ref="G5:I5"/>
  </mergeCells>
  <pageMargins left="0.45" right="0.45" top="0.25" bottom="0.25" header="0.3" footer="0.3"/>
  <pageSetup paperSize="5" scale="72" fitToHeight="2" orientation="landscape" r:id="rId1"/>
  <headerFooter>
    <oddFooter>&amp;R&amp;A   &amp;"-,Bold"Page&amp;P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I45"/>
  <sheetViews>
    <sheetView workbookViewId="0">
      <selection activeCell="A45" sqref="A45:I45"/>
    </sheetView>
  </sheetViews>
  <sheetFormatPr defaultRowHeight="14.4" x14ac:dyDescent="0.3"/>
  <cols>
    <col min="1" max="1" width="12.33203125" customWidth="1"/>
    <col min="7" max="7" width="10.44140625" customWidth="1"/>
    <col min="9" max="9" width="12.5546875" customWidth="1"/>
  </cols>
  <sheetData>
    <row r="3" spans="1:9" ht="23.4" x14ac:dyDescent="0.45">
      <c r="A3" s="83" t="s">
        <v>236</v>
      </c>
      <c r="B3" s="83"/>
      <c r="C3" s="83"/>
      <c r="D3" s="83"/>
      <c r="E3" s="83"/>
      <c r="F3" s="83"/>
      <c r="G3" s="83"/>
      <c r="H3" s="83"/>
      <c r="I3" s="83"/>
    </row>
    <row r="6" spans="1:9" x14ac:dyDescent="0.3">
      <c r="A6" s="22" t="s">
        <v>237</v>
      </c>
      <c r="D6" s="7"/>
      <c r="E6" s="7"/>
      <c r="F6" s="7"/>
      <c r="G6" s="7"/>
      <c r="H6" s="7"/>
      <c r="I6" s="7"/>
    </row>
    <row r="7" spans="1:9" x14ac:dyDescent="0.3">
      <c r="D7" s="84" t="s">
        <v>238</v>
      </c>
      <c r="E7" s="84"/>
      <c r="F7" s="84"/>
      <c r="G7" s="84"/>
      <c r="H7" s="84"/>
      <c r="I7" s="84"/>
    </row>
    <row r="8" spans="1:9" x14ac:dyDescent="0.3">
      <c r="A8" s="22" t="s">
        <v>239</v>
      </c>
      <c r="B8" s="7"/>
      <c r="C8" s="7"/>
      <c r="D8" s="7"/>
      <c r="E8" s="7"/>
      <c r="F8" s="7"/>
      <c r="G8" s="22" t="s">
        <v>240</v>
      </c>
    </row>
    <row r="9" spans="1:9" x14ac:dyDescent="0.3">
      <c r="B9" s="84" t="s">
        <v>241</v>
      </c>
      <c r="C9" s="84"/>
      <c r="D9" s="84"/>
      <c r="E9" s="84"/>
      <c r="F9" s="84"/>
    </row>
    <row r="10" spans="1:9" x14ac:dyDescent="0.3">
      <c r="A10" s="22" t="s">
        <v>242</v>
      </c>
      <c r="C10" s="7"/>
      <c r="D10" s="7"/>
      <c r="E10" s="7"/>
      <c r="F10" s="7"/>
      <c r="G10" s="7"/>
      <c r="H10" s="7"/>
      <c r="I10" s="7"/>
    </row>
    <row r="11" spans="1:9" x14ac:dyDescent="0.3">
      <c r="C11" s="84" t="s">
        <v>243</v>
      </c>
      <c r="D11" s="84"/>
      <c r="E11" s="84"/>
      <c r="F11" s="84"/>
      <c r="G11" s="84"/>
      <c r="H11" s="84"/>
      <c r="I11" s="84"/>
    </row>
    <row r="12" spans="1:9" x14ac:dyDescent="0.3">
      <c r="A12" s="22" t="s">
        <v>244</v>
      </c>
    </row>
    <row r="14" spans="1:9" x14ac:dyDescent="0.3">
      <c r="A14" s="7" t="s">
        <v>245</v>
      </c>
      <c r="B14" s="7"/>
      <c r="C14" s="7"/>
      <c r="D14" s="22" t="s">
        <v>246</v>
      </c>
      <c r="H14" s="7"/>
      <c r="I14" s="7"/>
    </row>
    <row r="15" spans="1:9" x14ac:dyDescent="0.3">
      <c r="A15" s="8" t="s">
        <v>247</v>
      </c>
      <c r="H15" s="84" t="s">
        <v>248</v>
      </c>
      <c r="I15" s="84"/>
    </row>
    <row r="17" spans="1:9" x14ac:dyDescent="0.3">
      <c r="A17" t="s">
        <v>249</v>
      </c>
    </row>
    <row r="18" spans="1:9" x14ac:dyDescent="0.3">
      <c r="A18" t="s">
        <v>250</v>
      </c>
    </row>
    <row r="21" spans="1:9" x14ac:dyDescent="0.3">
      <c r="A21" s="22" t="s">
        <v>251</v>
      </c>
      <c r="B21" s="22"/>
      <c r="C21" s="22"/>
      <c r="D21" s="22"/>
      <c r="E21" s="22"/>
      <c r="F21" s="22"/>
      <c r="G21" s="22"/>
      <c r="H21" s="22"/>
      <c r="I21" s="22"/>
    </row>
    <row r="22" spans="1:9" x14ac:dyDescent="0.3">
      <c r="A22" s="22" t="s">
        <v>252</v>
      </c>
      <c r="B22" s="22"/>
      <c r="C22" s="22"/>
      <c r="D22" s="22"/>
      <c r="E22" s="22"/>
      <c r="F22" s="22"/>
      <c r="G22" s="22"/>
      <c r="H22" s="22"/>
      <c r="I22" s="22"/>
    </row>
    <row r="23" spans="1:9" x14ac:dyDescent="0.3">
      <c r="A23" s="22" t="s">
        <v>253</v>
      </c>
      <c r="B23" s="22"/>
      <c r="C23" s="22"/>
      <c r="D23" s="22"/>
      <c r="E23" s="22"/>
      <c r="F23" s="22"/>
      <c r="G23" s="22"/>
      <c r="H23" s="22"/>
      <c r="I23" s="22"/>
    </row>
    <row r="24" spans="1:9" x14ac:dyDescent="0.3">
      <c r="A24" s="22" t="s">
        <v>254</v>
      </c>
      <c r="B24" s="22"/>
      <c r="C24" s="22"/>
      <c r="D24" s="22"/>
      <c r="E24" s="22"/>
      <c r="F24" s="22"/>
      <c r="G24" s="22"/>
      <c r="H24" s="22"/>
      <c r="I24" s="22"/>
    </row>
    <row r="25" spans="1:9" x14ac:dyDescent="0.3">
      <c r="A25" s="22" t="s">
        <v>255</v>
      </c>
      <c r="B25" s="22"/>
      <c r="C25" s="22"/>
      <c r="D25" s="22"/>
      <c r="E25" s="22"/>
      <c r="F25" s="22"/>
      <c r="G25" s="22"/>
      <c r="H25" s="22"/>
      <c r="I25" s="22"/>
    </row>
    <row r="26" spans="1:9" x14ac:dyDescent="0.3">
      <c r="A26" s="22" t="s">
        <v>256</v>
      </c>
      <c r="B26" s="22"/>
      <c r="C26" s="22"/>
      <c r="D26" s="22"/>
      <c r="E26" s="22"/>
      <c r="F26" s="22"/>
      <c r="G26" s="22"/>
      <c r="H26" s="22"/>
      <c r="I26" s="22"/>
    </row>
    <row r="27" spans="1:9" x14ac:dyDescent="0.3">
      <c r="A27" s="22" t="s">
        <v>257</v>
      </c>
      <c r="B27" s="22"/>
      <c r="C27" s="22"/>
      <c r="D27" s="22"/>
      <c r="E27" s="22"/>
      <c r="F27" s="22"/>
      <c r="G27" s="22"/>
      <c r="H27" s="22"/>
      <c r="I27" s="22"/>
    </row>
    <row r="28" spans="1:9" x14ac:dyDescent="0.3">
      <c r="A28" s="22" t="s">
        <v>258</v>
      </c>
      <c r="B28" s="22"/>
      <c r="C28" s="22"/>
      <c r="D28" s="22"/>
      <c r="E28" s="22"/>
      <c r="F28" s="22"/>
      <c r="G28" s="22"/>
      <c r="H28" s="22"/>
      <c r="I28" s="22"/>
    </row>
    <row r="29" spans="1:9" x14ac:dyDescent="0.3">
      <c r="A29" s="22" t="s">
        <v>259</v>
      </c>
      <c r="B29" s="22"/>
      <c r="C29" s="22"/>
      <c r="D29" s="22"/>
      <c r="E29" s="22"/>
      <c r="F29" s="22"/>
      <c r="G29" s="22"/>
      <c r="H29" s="22"/>
      <c r="I29" s="22"/>
    </row>
    <row r="30" spans="1:9" x14ac:dyDescent="0.3">
      <c r="A30" s="22" t="s">
        <v>260</v>
      </c>
      <c r="B30" s="22"/>
      <c r="C30" s="22"/>
      <c r="D30" s="22"/>
      <c r="E30" s="22"/>
      <c r="F30" s="22"/>
      <c r="G30" s="22"/>
      <c r="H30" s="22"/>
      <c r="I30" s="22"/>
    </row>
    <row r="34" spans="1:9" x14ac:dyDescent="0.3">
      <c r="B34" s="7"/>
      <c r="C34" s="7"/>
      <c r="D34" s="7"/>
      <c r="E34" s="7"/>
      <c r="F34" s="7"/>
      <c r="G34" t="s">
        <v>261</v>
      </c>
      <c r="H34" s="7"/>
      <c r="I34" s="7"/>
    </row>
    <row r="35" spans="1:9" x14ac:dyDescent="0.3">
      <c r="B35" s="84" t="s">
        <v>262</v>
      </c>
      <c r="C35" s="84"/>
      <c r="D35" s="84"/>
      <c r="E35" s="84"/>
      <c r="F35" s="84"/>
      <c r="H35" s="84" t="s">
        <v>248</v>
      </c>
      <c r="I35" s="84"/>
    </row>
    <row r="36" spans="1:9" x14ac:dyDescent="0.3">
      <c r="A36" s="6" t="s">
        <v>263</v>
      </c>
      <c r="B36" s="7"/>
      <c r="D36" s="7"/>
      <c r="E36" s="7"/>
      <c r="F36" s="7"/>
    </row>
    <row r="37" spans="1:9" x14ac:dyDescent="0.3">
      <c r="B37" s="84" t="s">
        <v>264</v>
      </c>
      <c r="C37" s="84"/>
      <c r="D37" s="84"/>
      <c r="E37" s="84"/>
      <c r="F37" s="84"/>
    </row>
    <row r="38" spans="1:9" ht="20.25" customHeight="1" x14ac:dyDescent="0.3">
      <c r="A38" s="6" t="s">
        <v>265</v>
      </c>
      <c r="B38" s="7"/>
      <c r="C38" s="7"/>
      <c r="D38" s="7"/>
      <c r="E38" s="7"/>
      <c r="F38" s="7"/>
    </row>
    <row r="39" spans="1:9" x14ac:dyDescent="0.3">
      <c r="B39" s="86" t="s">
        <v>266</v>
      </c>
      <c r="C39" s="86"/>
      <c r="D39" s="86"/>
      <c r="E39" s="86"/>
      <c r="F39" s="86"/>
    </row>
    <row r="41" spans="1:9" x14ac:dyDescent="0.3">
      <c r="A41" s="6" t="s">
        <v>267</v>
      </c>
      <c r="B41" s="7"/>
      <c r="C41" s="7"/>
      <c r="D41" s="7"/>
      <c r="E41" s="7"/>
      <c r="F41" s="7"/>
      <c r="G41" s="7"/>
    </row>
    <row r="42" spans="1:9" ht="20.25" customHeight="1" x14ac:dyDescent="0.3">
      <c r="A42" s="6" t="s">
        <v>23</v>
      </c>
      <c r="B42" s="7"/>
      <c r="C42" s="7"/>
      <c r="D42" s="7"/>
      <c r="E42" s="7"/>
      <c r="F42" s="7"/>
      <c r="G42" s="23"/>
    </row>
    <row r="43" spans="1:9" x14ac:dyDescent="0.3">
      <c r="B43" s="6"/>
    </row>
    <row r="45" spans="1:9" x14ac:dyDescent="0.3">
      <c r="A45" s="85" t="s">
        <v>268</v>
      </c>
      <c r="B45" s="85"/>
      <c r="C45" s="85"/>
      <c r="D45" s="85"/>
      <c r="E45" s="85"/>
      <c r="F45" s="85"/>
      <c r="G45" s="85"/>
      <c r="H45" s="85"/>
      <c r="I45" s="85"/>
    </row>
  </sheetData>
  <sheetProtection password="CB6C" sheet="1" objects="1" scenarios="1"/>
  <mergeCells count="10">
    <mergeCell ref="A3:I3"/>
    <mergeCell ref="H35:I35"/>
    <mergeCell ref="A45:I45"/>
    <mergeCell ref="D7:I7"/>
    <mergeCell ref="B35:F35"/>
    <mergeCell ref="B37:F37"/>
    <mergeCell ref="B39:F39"/>
    <mergeCell ref="B9:F9"/>
    <mergeCell ref="C11:I11"/>
    <mergeCell ref="H15:I1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I44"/>
  <sheetViews>
    <sheetView workbookViewId="0">
      <selection activeCell="A41" sqref="A41:I41"/>
    </sheetView>
  </sheetViews>
  <sheetFormatPr defaultRowHeight="14.4" x14ac:dyDescent="0.3"/>
  <cols>
    <col min="1" max="1" width="12.33203125" customWidth="1"/>
    <col min="7" max="7" width="10.44140625" customWidth="1"/>
    <col min="9" max="9" width="12.5546875" customWidth="1"/>
  </cols>
  <sheetData>
    <row r="3" spans="1:9" ht="23.4" x14ac:dyDescent="0.45">
      <c r="A3" s="83" t="s">
        <v>269</v>
      </c>
      <c r="B3" s="83"/>
      <c r="C3" s="83"/>
      <c r="D3" s="83"/>
      <c r="E3" s="83"/>
      <c r="F3" s="83"/>
      <c r="G3" s="83"/>
      <c r="H3" s="83"/>
      <c r="I3" s="83"/>
    </row>
    <row r="6" spans="1:9" x14ac:dyDescent="0.3">
      <c r="A6" t="s">
        <v>237</v>
      </c>
      <c r="D6" s="7"/>
      <c r="E6" s="7"/>
      <c r="F6" s="7"/>
      <c r="G6" s="7"/>
      <c r="H6" s="7"/>
      <c r="I6" s="7"/>
    </row>
    <row r="7" spans="1:9" x14ac:dyDescent="0.3">
      <c r="D7" s="84" t="s">
        <v>238</v>
      </c>
      <c r="E7" s="84"/>
      <c r="F7" s="84"/>
      <c r="G7" s="84"/>
      <c r="H7" s="84"/>
      <c r="I7" s="84"/>
    </row>
    <row r="8" spans="1:9" x14ac:dyDescent="0.3">
      <c r="A8" t="s">
        <v>239</v>
      </c>
      <c r="B8" s="7"/>
      <c r="C8" s="7"/>
      <c r="D8" s="7"/>
      <c r="E8" s="7"/>
      <c r="F8" s="7"/>
      <c r="G8" t="s">
        <v>240</v>
      </c>
    </row>
    <row r="9" spans="1:9" x14ac:dyDescent="0.3">
      <c r="B9" s="84" t="s">
        <v>241</v>
      </c>
      <c r="C9" s="84"/>
      <c r="D9" s="84"/>
      <c r="E9" s="84"/>
      <c r="F9" s="84"/>
    </row>
    <row r="10" spans="1:9" x14ac:dyDescent="0.3">
      <c r="A10" t="s">
        <v>242</v>
      </c>
      <c r="C10" s="7"/>
      <c r="D10" s="7"/>
      <c r="E10" s="7"/>
      <c r="F10" s="7"/>
      <c r="G10" s="7"/>
      <c r="H10" s="7"/>
      <c r="I10" s="7"/>
    </row>
    <row r="11" spans="1:9" x14ac:dyDescent="0.3">
      <c r="C11" s="84" t="s">
        <v>243</v>
      </c>
      <c r="D11" s="84"/>
      <c r="E11" s="84"/>
      <c r="F11" s="84"/>
      <c r="G11" s="84"/>
      <c r="H11" s="84"/>
      <c r="I11" s="84"/>
    </row>
    <row r="12" spans="1:9" x14ac:dyDescent="0.3">
      <c r="D12" s="24"/>
      <c r="E12" s="24"/>
      <c r="F12" s="24"/>
      <c r="G12" s="24"/>
      <c r="H12" s="24"/>
      <c r="I12" s="24"/>
    </row>
    <row r="13" spans="1:9" x14ac:dyDescent="0.3">
      <c r="A13" t="s">
        <v>270</v>
      </c>
      <c r="D13" s="24"/>
      <c r="E13" s="24"/>
      <c r="F13" s="24"/>
      <c r="G13" s="24"/>
      <c r="H13" s="24"/>
      <c r="I13" s="24"/>
    </row>
    <row r="14" spans="1:9" x14ac:dyDescent="0.3">
      <c r="A14" t="s">
        <v>271</v>
      </c>
      <c r="D14" s="24"/>
      <c r="E14" s="24"/>
      <c r="F14" s="24"/>
      <c r="G14" s="24"/>
      <c r="H14" s="24"/>
      <c r="I14" s="24"/>
    </row>
    <row r="15" spans="1:9" x14ac:dyDescent="0.3">
      <c r="D15" s="24"/>
      <c r="E15" s="24"/>
      <c r="F15" s="24"/>
      <c r="G15" s="24"/>
      <c r="H15" s="24"/>
      <c r="I15" s="24"/>
    </row>
    <row r="17" spans="1:9" x14ac:dyDescent="0.3">
      <c r="A17" s="22" t="s">
        <v>251</v>
      </c>
      <c r="B17" s="22"/>
      <c r="C17" s="22"/>
      <c r="D17" s="22"/>
      <c r="E17" s="22"/>
      <c r="F17" s="22"/>
      <c r="G17" s="22"/>
      <c r="H17" s="22"/>
      <c r="I17" s="22"/>
    </row>
    <row r="18" spans="1:9" x14ac:dyDescent="0.3">
      <c r="A18" s="22" t="s">
        <v>252</v>
      </c>
      <c r="B18" s="22"/>
      <c r="C18" s="22"/>
      <c r="D18" s="22"/>
      <c r="E18" s="22"/>
      <c r="F18" s="22"/>
      <c r="G18" s="22"/>
      <c r="H18" s="22"/>
      <c r="I18" s="22"/>
    </row>
    <row r="19" spans="1:9" x14ac:dyDescent="0.3">
      <c r="A19" s="22" t="s">
        <v>253</v>
      </c>
      <c r="B19" s="22"/>
      <c r="C19" s="22"/>
      <c r="D19" s="22"/>
      <c r="E19" s="22"/>
      <c r="F19" s="22"/>
      <c r="G19" s="22"/>
      <c r="H19" s="22"/>
      <c r="I19" s="22"/>
    </row>
    <row r="20" spans="1:9" x14ac:dyDescent="0.3">
      <c r="A20" s="22" t="s">
        <v>254</v>
      </c>
      <c r="B20" s="22"/>
      <c r="C20" s="22"/>
      <c r="D20" s="22"/>
      <c r="E20" s="22"/>
      <c r="F20" s="22"/>
      <c r="G20" s="22"/>
      <c r="H20" s="22"/>
      <c r="I20" s="22"/>
    </row>
    <row r="21" spans="1:9" x14ac:dyDescent="0.3">
      <c r="A21" s="22" t="s">
        <v>255</v>
      </c>
      <c r="B21" s="22"/>
      <c r="C21" s="22"/>
      <c r="D21" s="22"/>
      <c r="E21" s="22"/>
      <c r="F21" s="22"/>
      <c r="G21" s="22"/>
      <c r="H21" s="22"/>
      <c r="I21" s="22"/>
    </row>
    <row r="22" spans="1:9" x14ac:dyDescent="0.3">
      <c r="A22" s="22" t="s">
        <v>256</v>
      </c>
      <c r="B22" s="22"/>
      <c r="C22" s="22"/>
      <c r="D22" s="22"/>
      <c r="E22" s="22"/>
      <c r="F22" s="22"/>
      <c r="G22" s="22"/>
      <c r="H22" s="22"/>
      <c r="I22" s="22"/>
    </row>
    <row r="23" spans="1:9" x14ac:dyDescent="0.3">
      <c r="A23" s="22" t="s">
        <v>257</v>
      </c>
      <c r="B23" s="22"/>
      <c r="C23" s="22"/>
      <c r="D23" s="22"/>
      <c r="E23" s="22"/>
      <c r="F23" s="22"/>
      <c r="G23" s="22"/>
      <c r="H23" s="22"/>
      <c r="I23" s="22"/>
    </row>
    <row r="24" spans="1:9" x14ac:dyDescent="0.3">
      <c r="A24" s="22" t="s">
        <v>258</v>
      </c>
      <c r="B24" s="22"/>
      <c r="C24" s="22"/>
      <c r="D24" s="22"/>
      <c r="E24" s="22"/>
      <c r="F24" s="22"/>
      <c r="G24" s="22"/>
      <c r="H24" s="22"/>
      <c r="I24" s="22"/>
    </row>
    <row r="25" spans="1:9" x14ac:dyDescent="0.3">
      <c r="A25" s="22" t="s">
        <v>259</v>
      </c>
      <c r="B25" s="22"/>
      <c r="C25" s="22"/>
      <c r="D25" s="22"/>
      <c r="E25" s="22"/>
      <c r="F25" s="22"/>
      <c r="G25" s="22"/>
      <c r="H25" s="22"/>
      <c r="I25" s="22"/>
    </row>
    <row r="26" spans="1:9" x14ac:dyDescent="0.3">
      <c r="A26" s="22" t="s">
        <v>260</v>
      </c>
      <c r="B26" s="22"/>
      <c r="C26" s="22"/>
      <c r="D26" s="22"/>
      <c r="E26" s="22"/>
      <c r="F26" s="22"/>
      <c r="G26" s="22"/>
      <c r="H26" s="22"/>
      <c r="I26" s="22"/>
    </row>
    <row r="30" spans="1:9" x14ac:dyDescent="0.3">
      <c r="B30" s="7"/>
      <c r="C30" s="7"/>
      <c r="D30" s="7"/>
      <c r="E30" s="7"/>
      <c r="F30" s="7"/>
      <c r="G30" t="s">
        <v>261</v>
      </c>
      <c r="H30" s="7"/>
      <c r="I30" s="7"/>
    </row>
    <row r="31" spans="1:9" x14ac:dyDescent="0.3">
      <c r="B31" s="84" t="s">
        <v>262</v>
      </c>
      <c r="C31" s="84"/>
      <c r="D31" s="84"/>
      <c r="E31" s="84"/>
      <c r="F31" s="84"/>
      <c r="H31" s="84" t="s">
        <v>248</v>
      </c>
      <c r="I31" s="84"/>
    </row>
    <row r="32" spans="1:9" x14ac:dyDescent="0.3">
      <c r="A32" s="6" t="s">
        <v>263</v>
      </c>
      <c r="B32" s="7"/>
      <c r="D32" s="7"/>
      <c r="E32" s="7"/>
      <c r="F32" s="7"/>
    </row>
    <row r="33" spans="1:9" x14ac:dyDescent="0.3">
      <c r="B33" s="84" t="s">
        <v>264</v>
      </c>
      <c r="C33" s="84"/>
      <c r="D33" s="84"/>
      <c r="E33" s="84"/>
      <c r="F33" s="84"/>
    </row>
    <row r="34" spans="1:9" ht="20.25" customHeight="1" x14ac:dyDescent="0.3">
      <c r="A34" s="6" t="s">
        <v>265</v>
      </c>
      <c r="B34" s="7"/>
      <c r="C34" s="7"/>
      <c r="D34" s="7"/>
      <c r="E34" s="7"/>
      <c r="F34" s="7"/>
    </row>
    <row r="35" spans="1:9" x14ac:dyDescent="0.3">
      <c r="B35" s="86" t="s">
        <v>266</v>
      </c>
      <c r="C35" s="86"/>
      <c r="D35" s="86"/>
      <c r="E35" s="86"/>
      <c r="F35" s="86"/>
    </row>
    <row r="37" spans="1:9" x14ac:dyDescent="0.3">
      <c r="A37" s="6" t="s">
        <v>267</v>
      </c>
      <c r="B37" s="7"/>
      <c r="C37" s="7"/>
      <c r="D37" s="7"/>
      <c r="E37" s="7"/>
      <c r="F37" s="7"/>
      <c r="G37" s="7"/>
    </row>
    <row r="38" spans="1:9" ht="20.25" customHeight="1" x14ac:dyDescent="0.3">
      <c r="A38" s="6" t="s">
        <v>23</v>
      </c>
      <c r="B38" s="7"/>
      <c r="C38" s="7"/>
      <c r="D38" s="7"/>
      <c r="E38" s="7"/>
      <c r="F38" s="7"/>
      <c r="G38" s="23"/>
    </row>
    <row r="39" spans="1:9" x14ac:dyDescent="0.3">
      <c r="B39" s="6"/>
    </row>
    <row r="41" spans="1:9" x14ac:dyDescent="0.3">
      <c r="A41" s="85" t="s">
        <v>268</v>
      </c>
      <c r="B41" s="85"/>
      <c r="C41" s="85"/>
      <c r="D41" s="85"/>
      <c r="E41" s="85"/>
      <c r="F41" s="85"/>
      <c r="G41" s="85"/>
      <c r="H41" s="85"/>
      <c r="I41" s="85"/>
    </row>
    <row r="43" spans="1:9" x14ac:dyDescent="0.3">
      <c r="A43" s="87" t="s">
        <v>272</v>
      </c>
      <c r="B43" s="87"/>
      <c r="C43" s="87"/>
      <c r="D43" s="87"/>
      <c r="E43" s="87"/>
      <c r="F43" s="87"/>
      <c r="G43" s="87"/>
      <c r="H43" s="87"/>
      <c r="I43" s="87"/>
    </row>
    <row r="44" spans="1:9" x14ac:dyDescent="0.3">
      <c r="A44" s="87" t="s">
        <v>273</v>
      </c>
      <c r="B44" s="87"/>
      <c r="C44" s="87"/>
      <c r="D44" s="87"/>
      <c r="E44" s="87"/>
      <c r="F44" s="87"/>
      <c r="G44" s="87"/>
      <c r="H44" s="87"/>
      <c r="I44" s="87"/>
    </row>
  </sheetData>
  <sheetProtection password="CB6C" sheet="1" objects="1" scenarios="1"/>
  <mergeCells count="11">
    <mergeCell ref="A3:I3"/>
    <mergeCell ref="D7:I7"/>
    <mergeCell ref="B31:F31"/>
    <mergeCell ref="H31:I31"/>
    <mergeCell ref="A44:I44"/>
    <mergeCell ref="B33:F33"/>
    <mergeCell ref="B35:F35"/>
    <mergeCell ref="A41:I41"/>
    <mergeCell ref="B9:F9"/>
    <mergeCell ref="C11:I11"/>
    <mergeCell ref="A43:I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5833250F1FA14181152E496B7BA299" ma:contentTypeVersion="13" ma:contentTypeDescription="Create a new document." ma:contentTypeScope="" ma:versionID="261bbb88ddefede37069081f69478819">
  <xsd:schema xmlns:xsd="http://www.w3.org/2001/XMLSchema" xmlns:xs="http://www.w3.org/2001/XMLSchema" xmlns:p="http://schemas.microsoft.com/office/2006/metadata/properties" xmlns:ns2="3587d346-06af-42ae-85fc-924a52d5c0b5" xmlns:ns3="b479206e-175b-4ebe-9947-d22816e9318a" targetNamespace="http://schemas.microsoft.com/office/2006/metadata/properties" ma:root="true" ma:fieldsID="78fc0f155e2ae164bf76fcc6a80c26c5" ns2:_="" ns3:_="">
    <xsd:import namespace="3587d346-06af-42ae-85fc-924a52d5c0b5"/>
    <xsd:import namespace="b479206e-175b-4ebe-9947-d22816e931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7d346-06af-42ae-85fc-924a52d5c0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9206e-175b-4ebe-9947-d22816e9318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18311-F5D0-4991-866B-2148050D2E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9C51CD4-24A6-420E-86B1-54E05FAE2DDB}">
  <ds:schemaRefs>
    <ds:schemaRef ds:uri="http://schemas.microsoft.com/sharepoint/v3/contenttype/forms"/>
  </ds:schemaRefs>
</ds:datastoreItem>
</file>

<file path=customXml/itemProps3.xml><?xml version="1.0" encoding="utf-8"?>
<ds:datastoreItem xmlns:ds="http://schemas.openxmlformats.org/officeDocument/2006/customXml" ds:itemID="{2038E242-0CF5-4C7D-B99E-9FE03E0316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Example of Residential SS</vt:lpstr>
      <vt:lpstr>How to Use Sworn Stmt</vt:lpstr>
      <vt:lpstr>Master</vt:lpstr>
      <vt:lpstr>Draw 1</vt:lpstr>
      <vt:lpstr>Draw 2</vt:lpstr>
      <vt:lpstr>Draw 3</vt:lpstr>
      <vt:lpstr>Draw 4</vt:lpstr>
      <vt:lpstr>Draw 5</vt:lpstr>
      <vt:lpstr>Draw 6</vt:lpstr>
      <vt:lpstr>Draw 7</vt:lpstr>
      <vt:lpstr>Draw 8</vt:lpstr>
      <vt:lpstr>Draw 9</vt:lpstr>
      <vt:lpstr>Draw 10</vt:lpstr>
      <vt:lpstr>Draw 11</vt:lpstr>
      <vt:lpstr>Draw 12</vt:lpstr>
      <vt:lpstr>Draw 13</vt:lpstr>
      <vt:lpstr>Draw 14</vt:lpstr>
      <vt:lpstr>Draw 15</vt:lpstr>
      <vt:lpstr>Draw 16</vt:lpstr>
      <vt:lpstr>Partial Waiver</vt:lpstr>
      <vt:lpstr>Full Waiver</vt:lpstr>
    </vt:vector>
  </TitlesOfParts>
  <Manager/>
  <Company>Macatawa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 Macchia</dc:creator>
  <cp:keywords/>
  <dc:description/>
  <cp:lastModifiedBy>Jeff Klaasen</cp:lastModifiedBy>
  <cp:revision/>
  <dcterms:created xsi:type="dcterms:W3CDTF">2014-04-03T14:30:26Z</dcterms:created>
  <dcterms:modified xsi:type="dcterms:W3CDTF">2021-11-17T12:21:18Z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0x010100945833250F1FA14181152E496B7BA299</vt:lpwstr>
  </property>
</Properties>
</file>