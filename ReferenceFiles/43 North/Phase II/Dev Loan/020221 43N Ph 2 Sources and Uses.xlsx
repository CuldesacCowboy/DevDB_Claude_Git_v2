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Q:\43 North\Phase II\Dev Loan\"/>
    </mc:Choice>
  </mc:AlternateContent>
  <xr:revisionPtr revIDLastSave="0" documentId="13_ncr:1_{08EFAE08-11D3-4C75-B938-3D4821512DC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5" i="1" l="1"/>
  <c r="D12" i="1"/>
  <c r="D13" i="1"/>
  <c r="D14" i="1"/>
  <c r="D8" i="1"/>
  <c r="D17" i="1" l="1"/>
  <c r="D23" i="1" l="1"/>
</calcChain>
</file>

<file path=xl/sharedStrings.xml><?xml version="1.0" encoding="utf-8"?>
<sst xmlns="http://schemas.openxmlformats.org/spreadsheetml/2006/main" count="17" uniqueCount="16">
  <si>
    <t>Loan Request</t>
  </si>
  <si>
    <t>Equity Need</t>
  </si>
  <si>
    <t>P&amp;L</t>
  </si>
  <si>
    <t>Engineering</t>
  </si>
  <si>
    <t>Permits</t>
  </si>
  <si>
    <t>Total</t>
  </si>
  <si>
    <t>Land</t>
  </si>
  <si>
    <t>Total Phase South Proj Costs</t>
  </si>
  <si>
    <t>43 North Phase 2 Sources and Uses</t>
  </si>
  <si>
    <t>Construction</t>
  </si>
  <si>
    <t>Legal</t>
  </si>
  <si>
    <t>Environmental</t>
  </si>
  <si>
    <t>Test Wells</t>
  </si>
  <si>
    <t>Bond</t>
  </si>
  <si>
    <t>Pull Equity out at close for invoice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</si>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</sst>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43" fontId="0" fillId="0" borderId="0" xfId="0" applyNumberFormat="1"/>
    <xf numFmtId="43" fontId="0" fillId="0" borderId="0" xfId="1" applyNumberFormat="1" applyFont="1"/>
    <xf numFmtId="14" fontId="0" fillId="0" borderId="0" xfId="0" applyNumberFormat="1"/>
    <xf numFmtId="43" fontId="0" fillId="0" borderId="0" xfId="1" applyFont="1" applyFill="1"/>
    <xf numFmtId="43" fontId="0" fillId="0" borderId="0" xfId="0" applyNumberFormat="1" applyFill="1"/>
    <xf numFmtId="43" fontId="0" fillId="0" borderId="1" xfId="1" applyFont="1" applyFill="1" applyBorder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1"/>
  <sheetViews>
    <sheetView tabSelected="1" workbookViewId="0">
      <selection activeCell="A27" sqref="A27"/>
    </sheetView>
  </sheetViews>
  <sheetFormatPr defaultRowHeight="14.4" x14ac:dyDescent="0.3"/>
  <cols>
    <col min="1" max="1" width="10.5546875" bestFit="1" customWidth="1"/>
    <col min="4" max="4" width="13.33203125" bestFit="1" customWidth="1"/>
    <col min="5" max="5" width="11.109375" bestFit="1" customWidth="1"/>
  </cols>
  <sheetData>
    <row r="1" spans="1:5" x14ac:dyDescent="0.3">
      <c r="A1" t="s">
        <v>8</v>
      </c>
    </row>
    <row r="2" spans="1:5" x14ac:dyDescent="0.3">
      <c r="A2" s="4">
        <v>44229</v>
      </c>
    </row>
    <row r="4" spans="1:5" x14ac:dyDescent="0.3">
      <c r="A4" t="s">
        <v>7</v>
      </c>
      <c r="D4" s="3">
        <v>1268365.72</v>
      </c>
    </row>
    <row r="6" spans="1:5" x14ac:dyDescent="0.3">
      <c r="A6" t="s">
        <v>0</v>
      </c>
      <c r="D6" s="2">
        <v>775000</v>
      </c>
      <c r="E6" s="2"/>
    </row>
    <row r="8" spans="1:5" x14ac:dyDescent="0.3">
      <c r="A8" t="s">
        <v>1</v>
      </c>
      <c r="D8" s="6">
        <f>D4*0.25</f>
        <v>317091.43</v>
      </c>
    </row>
    <row r="10" spans="1:5" x14ac:dyDescent="0.3">
      <c r="A10" t="s">
        <v>2</v>
      </c>
    </row>
    <row r="11" spans="1:5" x14ac:dyDescent="0.3">
      <c r="A11" t="s">
        <v>13</v>
      </c>
      <c r="D11" s="5">
        <v>3952</v>
      </c>
    </row>
    <row r="12" spans="1:5" x14ac:dyDescent="0.3">
      <c r="A12" t="s">
        <v>3</v>
      </c>
      <c r="D12" s="5">
        <f>38821.5+24409.5</f>
        <v>63231</v>
      </c>
    </row>
    <row r="13" spans="1:5" x14ac:dyDescent="0.3">
      <c r="A13" t="s">
        <v>12</v>
      </c>
      <c r="D13" s="5">
        <f>585+3952+3952+9000+12670+8448+5180+4486+600</f>
        <v>48873</v>
      </c>
    </row>
    <row r="14" spans="1:5" x14ac:dyDescent="0.3">
      <c r="A14" t="s">
        <v>4</v>
      </c>
      <c r="D14" s="5">
        <f>26158+1530</f>
        <v>27688</v>
      </c>
    </row>
    <row r="15" spans="1:5" x14ac:dyDescent="0.3">
      <c r="A15" t="s">
        <v>11</v>
      </c>
      <c r="D15" s="5">
        <v>1650</v>
      </c>
    </row>
    <row r="16" spans="1:5" x14ac:dyDescent="0.3">
      <c r="A16" s="8" t="s">
        <v>10</v>
      </c>
      <c r="B16" s="8"/>
      <c r="C16" s="8"/>
      <c r="D16" s="7">
        <v>14310</v>
      </c>
    </row>
    <row r="17" spans="1:4" x14ac:dyDescent="0.3">
      <c r="A17" t="s">
        <v>5</v>
      </c>
      <c r="D17" s="5">
        <f>SUM(D11:D16)</f>
        <v>159704</v>
      </c>
    </row>
    <row r="18" spans="1:4" x14ac:dyDescent="0.3">
      <c r="D18" s="5"/>
    </row>
    <row r="19" spans="1:4" x14ac:dyDescent="0.3">
      <c r="A19" t="s">
        <v>9</v>
      </c>
      <c r="D19" s="5">
        <v>138897.29</v>
      </c>
    </row>
    <row r="20" spans="1:4" x14ac:dyDescent="0.3">
      <c r="D20" s="5"/>
    </row>
    <row r="21" spans="1:4" x14ac:dyDescent="0.3">
      <c r="A21" t="s">
        <v>6</v>
      </c>
      <c r="D21" s="5">
        <v>234300</v>
      </c>
    </row>
    <row r="22" spans="1:4" x14ac:dyDescent="0.3">
      <c r="D22" s="1"/>
    </row>
    <row r="23" spans="1:4" x14ac:dyDescent="0.3">
      <c r="A23" t="s">
        <v>5</v>
      </c>
      <c r="D23" s="1">
        <f>D17+D21+D19</f>
        <v>532901.29</v>
      </c>
    </row>
    <row r="25" spans="1:4" x14ac:dyDescent="0.3">
      <c r="A25" t="s">
        <v>14</v>
      </c>
      <c r="D25" s="2">
        <f>-D23+(D4-D6)</f>
        <v>-39535.570000000065</v>
      </c>
    </row>
    <row r="26" spans="1:4" x14ac:dyDescent="0.3">
      <c r="A26" t="s">
        <v>15</v>
      </c>
    </row>
    <row r="28" spans="1:4" x14ac:dyDescent="0.3">
      <c r="D28" s="2"/>
    </row>
    <row r="31" spans="1:4" x14ac:dyDescent="0.3">
      <c r="D31" s="2"/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491A03-20E0-4B22-85AB-08735143F49B}"/>
</file>

<file path=customXml/itemProps2.xml><?xml version="1.0" encoding="utf-8"?>
<ds:datastoreItem xmlns:ds="http://schemas.openxmlformats.org/officeDocument/2006/customXml" ds:itemID="{89E6D198-3EB8-4ED6-9F08-AC8E843DB149}"/>
</file>

<file path=customXml/itemProps3.xml><?xml version="1.0" encoding="utf-8"?>
<ds:datastoreItem xmlns:ds="http://schemas.openxmlformats.org/officeDocument/2006/customXml" ds:itemID="{05AFA172-4D48-4A42-8B20-BD65363ED8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cp:lastPrinted>2020-10-19T16:20:22Z</cp:lastPrinted>
  <dcterms:created xsi:type="dcterms:W3CDTF">2018-03-01T13:34:40Z</dcterms:created>
  <dcterms:modified xsi:type="dcterms:W3CDTF">2021-02-03T12:44:55Z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