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hared Documents/Development/43 North/Phase II/"/>
    </mc:Choice>
  </mc:AlternateContent>
  <xr:revisionPtr revIDLastSave="181" documentId="8_{7DD8A1AF-1BF9-415C-89A8-907B0B3A2B2A}" xr6:coauthVersionLast="46" xr6:coauthVersionMax="46" xr10:uidLastSave="{6D1CB867-4683-4B84-AF25-F24588424451}"/>
  <bookViews>
    <workbookView xWindow="-108" yWindow="-108" windowWidth="23256" windowHeight="12576" xr2:uid="{C8BE14DA-97AC-44DD-9DBD-97DFD09C5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7" i="1" l="1"/>
  <c r="N87" i="1"/>
  <c r="O86" i="1"/>
  <c r="N86" i="1"/>
  <c r="O85" i="1"/>
  <c r="N85" i="1"/>
  <c r="O84" i="1"/>
  <c r="N84" i="1"/>
  <c r="O83" i="1"/>
  <c r="N83" i="1"/>
  <c r="O82" i="1"/>
  <c r="N82" i="1"/>
  <c r="O81" i="1"/>
  <c r="N81" i="1"/>
  <c r="O80" i="1"/>
  <c r="N80" i="1"/>
  <c r="O79" i="1"/>
  <c r="N79" i="1"/>
  <c r="O78" i="1"/>
  <c r="N78" i="1"/>
  <c r="O77" i="1"/>
  <c r="N77" i="1"/>
  <c r="O76" i="1"/>
  <c r="N76" i="1"/>
  <c r="O75" i="1"/>
  <c r="N75" i="1"/>
  <c r="O74" i="1"/>
  <c r="N74" i="1"/>
  <c r="O73" i="1"/>
  <c r="N73" i="1"/>
  <c r="O72" i="1"/>
  <c r="N72" i="1"/>
  <c r="O71" i="1"/>
  <c r="N71" i="1"/>
  <c r="O70" i="1"/>
  <c r="O90" i="1" s="1"/>
  <c r="N70" i="1"/>
  <c r="O69" i="1"/>
  <c r="N69" i="1"/>
  <c r="L90" i="1"/>
  <c r="L89" i="1"/>
  <c r="K90" i="1"/>
  <c r="K89" i="1"/>
  <c r="I90" i="1"/>
  <c r="I89" i="1"/>
  <c r="G90" i="1"/>
  <c r="F90" i="1"/>
  <c r="G89" i="1"/>
  <c r="F89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E90" i="1"/>
  <c r="E89" i="1"/>
  <c r="J23" i="1"/>
  <c r="J22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F23" i="1"/>
  <c r="F22" i="1"/>
  <c r="D22" i="1"/>
  <c r="D23" i="1"/>
  <c r="B23" i="1"/>
  <c r="B22" i="1"/>
  <c r="N90" i="1" l="1"/>
  <c r="I23" i="1"/>
  <c r="I22" i="1"/>
</calcChain>
</file>

<file path=xl/sharedStrings.xml><?xml version="1.0" encoding="utf-8"?>
<sst xmlns="http://schemas.openxmlformats.org/spreadsheetml/2006/main" count="25" uniqueCount="13">
  <si>
    <t>LISA's</t>
  </si>
  <si>
    <t>MIKE's</t>
  </si>
  <si>
    <t>TOTAL</t>
  </si>
  <si>
    <t>AVG</t>
  </si>
  <si>
    <t>Nates</t>
  </si>
  <si>
    <t>Average</t>
  </si>
  <si>
    <t>Jeffs</t>
  </si>
  <si>
    <t>$/Ac</t>
  </si>
  <si>
    <t>$/Front Foot</t>
  </si>
  <si>
    <t>Sq Ft</t>
  </si>
  <si>
    <t>Ac</t>
  </si>
  <si>
    <t>Front Foot</t>
  </si>
  <si>
    <t>Howies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</si>
</sst>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"/>
    <numFmt numFmtId="165" formatCode="_(* #,##0_);_(* \(#,##0\);_(* &quot;-&quot;??_);_(@_)"/>
    <numFmt numFmtId="166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0" fontId="0" fillId="2" borderId="0" xfId="0" applyFill="1"/>
    <xf numFmtId="0" fontId="0" fillId="0" borderId="0" xfId="0" applyFill="1"/>
    <xf numFmtId="43" fontId="0" fillId="0" borderId="0" xfId="1" applyFont="1"/>
    <xf numFmtId="164" fontId="0" fillId="0" borderId="0" xfId="0" applyNumberFormat="1" applyFill="1"/>
    <xf numFmtId="166" fontId="0" fillId="0" borderId="0" xfId="0" applyNumberForma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B7C-3AEF-4430-BAC0-E1B1243A7ED1}">
  <sheetPr>
    <pageSetUpPr fitToPage="1"/>
  </sheetPr>
  <dimension ref="A1:P90"/>
  <sheetViews>
    <sheetView tabSelected="1" topLeftCell="A67" workbookViewId="0">
      <selection activeCell="A68" sqref="A68:O90"/>
    </sheetView>
  </sheetViews>
  <sheetFormatPr defaultRowHeight="14.4" x14ac:dyDescent="0.3"/>
  <cols>
    <col min="2" max="2" width="12.6640625" bestFit="1" customWidth="1"/>
    <col min="3" max="3" width="12.6640625" customWidth="1"/>
    <col min="4" max="5" width="10.33203125" customWidth="1"/>
    <col min="6" max="7" width="9.88671875" bestFit="1" customWidth="1"/>
    <col min="9" max="12" width="9.88671875" bestFit="1" customWidth="1"/>
    <col min="13" max="13" width="9.88671875" customWidth="1"/>
    <col min="14" max="14" width="11" bestFit="1" customWidth="1"/>
    <col min="15" max="16" width="9.88671875" bestFit="1" customWidth="1"/>
    <col min="18" max="18" width="11" bestFit="1" customWidth="1"/>
  </cols>
  <sheetData>
    <row r="1" spans="1:10" x14ac:dyDescent="0.3">
      <c r="B1" s="3" t="s">
        <v>0</v>
      </c>
      <c r="D1" t="s">
        <v>1</v>
      </c>
      <c r="F1" t="s">
        <v>4</v>
      </c>
      <c r="I1" t="s">
        <v>5</v>
      </c>
    </row>
    <row r="2" spans="1:10" x14ac:dyDescent="0.3">
      <c r="A2">
        <v>35</v>
      </c>
      <c r="B2" s="1">
        <v>149000</v>
      </c>
      <c r="C2" s="2">
        <v>1</v>
      </c>
      <c r="D2" s="1">
        <v>144900</v>
      </c>
      <c r="E2" s="2">
        <v>2</v>
      </c>
      <c r="F2" s="1">
        <v>155900</v>
      </c>
      <c r="G2" s="2">
        <v>1</v>
      </c>
      <c r="H2" s="1"/>
      <c r="I2" s="1">
        <f>AVERAGE(F2,D2,B2)</f>
        <v>149933.33333333334</v>
      </c>
      <c r="J2" s="1">
        <v>149900</v>
      </c>
    </row>
    <row r="3" spans="1:10" x14ac:dyDescent="0.3">
      <c r="A3">
        <v>36</v>
      </c>
      <c r="B3" s="1">
        <v>149000</v>
      </c>
      <c r="C3" s="2">
        <v>1</v>
      </c>
      <c r="D3" s="1">
        <v>144900</v>
      </c>
      <c r="E3" s="2">
        <v>2</v>
      </c>
      <c r="F3" s="1">
        <v>155900</v>
      </c>
      <c r="G3" s="2">
        <v>1</v>
      </c>
      <c r="H3" s="1"/>
      <c r="I3" s="1">
        <f t="shared" ref="I3:I20" si="0">AVERAGE(F3,D3,B3)</f>
        <v>149933.33333333334</v>
      </c>
      <c r="J3" s="1">
        <v>149900</v>
      </c>
    </row>
    <row r="4" spans="1:10" x14ac:dyDescent="0.3">
      <c r="A4">
        <v>37</v>
      </c>
      <c r="B4" s="1">
        <v>149000</v>
      </c>
      <c r="C4" s="2">
        <v>1</v>
      </c>
      <c r="D4" s="1">
        <v>149900</v>
      </c>
      <c r="E4" s="2">
        <v>1</v>
      </c>
      <c r="F4" s="1">
        <v>155900</v>
      </c>
      <c r="G4" s="2">
        <v>1</v>
      </c>
      <c r="H4" s="1"/>
      <c r="I4" s="1">
        <f t="shared" si="0"/>
        <v>151600</v>
      </c>
      <c r="J4" s="1">
        <v>151500</v>
      </c>
    </row>
    <row r="5" spans="1:10" x14ac:dyDescent="0.3">
      <c r="A5">
        <v>38</v>
      </c>
      <c r="B5" s="1">
        <v>149000</v>
      </c>
      <c r="C5" s="2">
        <v>1</v>
      </c>
      <c r="D5" s="1">
        <v>149900</v>
      </c>
      <c r="E5" s="2">
        <v>1</v>
      </c>
      <c r="F5" s="1">
        <v>149900</v>
      </c>
      <c r="G5" s="2">
        <v>2</v>
      </c>
      <c r="H5" s="1"/>
      <c r="I5" s="1">
        <f t="shared" si="0"/>
        <v>149600</v>
      </c>
      <c r="J5" s="1">
        <v>149500</v>
      </c>
    </row>
    <row r="6" spans="1:10" x14ac:dyDescent="0.3">
      <c r="A6">
        <v>39</v>
      </c>
      <c r="B6" s="1">
        <v>149000</v>
      </c>
      <c r="C6" s="2">
        <v>1</v>
      </c>
      <c r="D6" s="1">
        <v>149900</v>
      </c>
      <c r="E6" s="2">
        <v>1</v>
      </c>
      <c r="F6" s="1">
        <v>149900</v>
      </c>
      <c r="G6" s="2">
        <v>2</v>
      </c>
      <c r="H6" s="1"/>
      <c r="I6" s="1">
        <f t="shared" si="0"/>
        <v>149600</v>
      </c>
      <c r="J6" s="1">
        <v>149500</v>
      </c>
    </row>
    <row r="7" spans="1:10" x14ac:dyDescent="0.3">
      <c r="A7">
        <v>32</v>
      </c>
      <c r="B7" s="1">
        <v>139000</v>
      </c>
      <c r="C7" s="2">
        <v>2</v>
      </c>
      <c r="D7" s="1">
        <v>149900</v>
      </c>
      <c r="E7" s="2">
        <v>1</v>
      </c>
      <c r="F7" s="1">
        <v>139900</v>
      </c>
      <c r="G7" s="2">
        <v>4</v>
      </c>
      <c r="H7" s="1"/>
      <c r="I7" s="1">
        <f t="shared" si="0"/>
        <v>142933.33333333334</v>
      </c>
      <c r="J7" s="1">
        <v>142900</v>
      </c>
    </row>
    <row r="8" spans="1:10" x14ac:dyDescent="0.3">
      <c r="A8">
        <v>33</v>
      </c>
      <c r="B8" s="1">
        <v>139000</v>
      </c>
      <c r="C8" s="2">
        <v>2</v>
      </c>
      <c r="D8" s="1">
        <v>149900</v>
      </c>
      <c r="E8" s="2">
        <v>1</v>
      </c>
      <c r="F8" s="1">
        <v>139900</v>
      </c>
      <c r="G8" s="2">
        <v>4</v>
      </c>
      <c r="H8" s="1"/>
      <c r="I8" s="1">
        <f t="shared" si="0"/>
        <v>142933.33333333334</v>
      </c>
      <c r="J8" s="1">
        <v>142900</v>
      </c>
    </row>
    <row r="9" spans="1:10" x14ac:dyDescent="0.3">
      <c r="A9">
        <v>34</v>
      </c>
      <c r="B9" s="1">
        <v>139000</v>
      </c>
      <c r="C9" s="2">
        <v>2</v>
      </c>
      <c r="D9" s="1">
        <v>144900</v>
      </c>
      <c r="E9" s="2">
        <v>2</v>
      </c>
      <c r="F9" s="1">
        <v>144900</v>
      </c>
      <c r="G9" s="2">
        <v>3</v>
      </c>
      <c r="H9" s="1"/>
      <c r="I9" s="1">
        <f t="shared" si="0"/>
        <v>142933.33333333334</v>
      </c>
      <c r="J9" s="1">
        <v>142900</v>
      </c>
    </row>
    <row r="10" spans="1:10" x14ac:dyDescent="0.3">
      <c r="A10">
        <v>43</v>
      </c>
      <c r="B10" s="1">
        <v>139000</v>
      </c>
      <c r="C10" s="2">
        <v>2</v>
      </c>
      <c r="D10" s="1">
        <v>144900</v>
      </c>
      <c r="E10" s="2">
        <v>2</v>
      </c>
      <c r="F10" s="1">
        <v>144900</v>
      </c>
      <c r="G10" s="2">
        <v>3</v>
      </c>
      <c r="H10" s="1"/>
      <c r="I10" s="1">
        <f t="shared" si="0"/>
        <v>142933.33333333334</v>
      </c>
      <c r="J10" s="1">
        <v>142900</v>
      </c>
    </row>
    <row r="11" spans="1:10" x14ac:dyDescent="0.3">
      <c r="A11">
        <v>26</v>
      </c>
      <c r="B11" s="1">
        <v>129000</v>
      </c>
      <c r="C11" s="2">
        <v>3</v>
      </c>
      <c r="D11" s="1">
        <v>134900</v>
      </c>
      <c r="E11" s="2">
        <v>3</v>
      </c>
      <c r="F11" s="1">
        <v>129000</v>
      </c>
      <c r="G11" s="2">
        <v>6</v>
      </c>
      <c r="H11" s="1"/>
      <c r="I11" s="1">
        <f t="shared" si="0"/>
        <v>130966.66666666667</v>
      </c>
      <c r="J11" s="1">
        <v>130900</v>
      </c>
    </row>
    <row r="12" spans="1:10" x14ac:dyDescent="0.3">
      <c r="A12">
        <v>27</v>
      </c>
      <c r="B12" s="1">
        <v>129000</v>
      </c>
      <c r="C12" s="2">
        <v>3</v>
      </c>
      <c r="D12" s="1">
        <v>134900</v>
      </c>
      <c r="E12" s="2">
        <v>3</v>
      </c>
      <c r="F12" s="1">
        <v>129000</v>
      </c>
      <c r="G12" s="2">
        <v>6</v>
      </c>
      <c r="H12" s="1"/>
      <c r="I12" s="1">
        <f t="shared" si="0"/>
        <v>130966.66666666667</v>
      </c>
      <c r="J12" s="1">
        <v>130900</v>
      </c>
    </row>
    <row r="13" spans="1:10" x14ac:dyDescent="0.3">
      <c r="A13">
        <v>29</v>
      </c>
      <c r="B13" s="1">
        <v>129000</v>
      </c>
      <c r="C13" s="2">
        <v>3</v>
      </c>
      <c r="D13" s="1">
        <v>129900</v>
      </c>
      <c r="E13" s="2">
        <v>4</v>
      </c>
      <c r="F13" s="1">
        <v>124900</v>
      </c>
      <c r="G13" s="2">
        <v>7</v>
      </c>
      <c r="H13" s="1"/>
      <c r="I13" s="1">
        <f t="shared" si="0"/>
        <v>127933.33333333333</v>
      </c>
      <c r="J13" s="1">
        <v>127900</v>
      </c>
    </row>
    <row r="14" spans="1:10" x14ac:dyDescent="0.3">
      <c r="A14">
        <v>30</v>
      </c>
      <c r="B14" s="1">
        <v>129000</v>
      </c>
      <c r="C14" s="2">
        <v>3</v>
      </c>
      <c r="D14" s="1">
        <v>129900</v>
      </c>
      <c r="E14" s="2">
        <v>4</v>
      </c>
      <c r="F14" s="1">
        <v>124900</v>
      </c>
      <c r="G14" s="2">
        <v>7</v>
      </c>
      <c r="H14" s="1"/>
      <c r="I14" s="1">
        <f t="shared" si="0"/>
        <v>127933.33333333333</v>
      </c>
      <c r="J14" s="1">
        <v>127900</v>
      </c>
    </row>
    <row r="15" spans="1:10" x14ac:dyDescent="0.3">
      <c r="A15">
        <v>31</v>
      </c>
      <c r="B15" s="1">
        <v>129000</v>
      </c>
      <c r="C15" s="2">
        <v>3</v>
      </c>
      <c r="D15" s="1">
        <v>129900</v>
      </c>
      <c r="E15" s="2">
        <v>4</v>
      </c>
      <c r="F15" s="1">
        <v>124900</v>
      </c>
      <c r="G15" s="2">
        <v>7</v>
      </c>
      <c r="H15" s="1"/>
      <c r="I15" s="1">
        <f t="shared" si="0"/>
        <v>127933.33333333333</v>
      </c>
      <c r="J15" s="1">
        <v>127900</v>
      </c>
    </row>
    <row r="16" spans="1:10" x14ac:dyDescent="0.3">
      <c r="A16">
        <v>42</v>
      </c>
      <c r="B16" s="1">
        <v>129000</v>
      </c>
      <c r="C16" s="2">
        <v>3</v>
      </c>
      <c r="D16" s="1">
        <v>134900</v>
      </c>
      <c r="E16" s="2">
        <v>3</v>
      </c>
      <c r="F16" s="1">
        <v>134900</v>
      </c>
      <c r="G16" s="2">
        <v>5</v>
      </c>
      <c r="H16" s="1"/>
      <c r="I16" s="1">
        <f t="shared" si="0"/>
        <v>132933.33333333334</v>
      </c>
      <c r="J16" s="1">
        <v>132900</v>
      </c>
    </row>
    <row r="17" spans="1:10" x14ac:dyDescent="0.3">
      <c r="A17">
        <v>28</v>
      </c>
      <c r="B17" s="1">
        <v>119000</v>
      </c>
      <c r="C17" s="2">
        <v>4</v>
      </c>
      <c r="D17" s="1">
        <v>119900</v>
      </c>
      <c r="E17" s="2">
        <v>5</v>
      </c>
      <c r="F17" s="1">
        <v>119000</v>
      </c>
      <c r="G17" s="2">
        <v>9</v>
      </c>
      <c r="H17" s="1"/>
      <c r="I17" s="1">
        <f t="shared" si="0"/>
        <v>119300</v>
      </c>
      <c r="J17" s="1">
        <v>119500</v>
      </c>
    </row>
    <row r="18" spans="1:10" x14ac:dyDescent="0.3">
      <c r="A18">
        <v>40</v>
      </c>
      <c r="B18" s="1">
        <v>119000</v>
      </c>
      <c r="C18" s="2">
        <v>4</v>
      </c>
      <c r="D18" s="1">
        <v>104900</v>
      </c>
      <c r="E18" s="2">
        <v>6</v>
      </c>
      <c r="F18" s="1">
        <v>114900</v>
      </c>
      <c r="G18" s="2">
        <v>10</v>
      </c>
      <c r="H18" s="1"/>
      <c r="I18" s="1">
        <f t="shared" si="0"/>
        <v>112933.33333333333</v>
      </c>
      <c r="J18" s="1">
        <v>112900</v>
      </c>
    </row>
    <row r="19" spans="1:10" x14ac:dyDescent="0.3">
      <c r="A19">
        <v>41</v>
      </c>
      <c r="B19" s="1">
        <v>119000</v>
      </c>
      <c r="C19" s="2">
        <v>4</v>
      </c>
      <c r="D19" s="1">
        <v>119900</v>
      </c>
      <c r="E19" s="2">
        <v>5</v>
      </c>
      <c r="F19" s="1">
        <v>119900</v>
      </c>
      <c r="G19" s="2">
        <v>8</v>
      </c>
      <c r="H19" s="1"/>
      <c r="I19" s="1">
        <f t="shared" si="0"/>
        <v>119600</v>
      </c>
      <c r="J19" s="1">
        <v>119500</v>
      </c>
    </row>
    <row r="20" spans="1:10" x14ac:dyDescent="0.3">
      <c r="A20">
        <v>2</v>
      </c>
      <c r="B20" s="1">
        <v>109000</v>
      </c>
      <c r="C20" s="2">
        <v>5</v>
      </c>
      <c r="D20" s="1">
        <v>104900</v>
      </c>
      <c r="E20" s="2">
        <v>6</v>
      </c>
      <c r="F20" s="1">
        <v>104900</v>
      </c>
      <c r="G20" s="2">
        <v>11</v>
      </c>
      <c r="H20" s="1"/>
      <c r="I20" s="1">
        <f t="shared" si="0"/>
        <v>106266.66666666667</v>
      </c>
      <c r="J20" s="1">
        <v>106500</v>
      </c>
    </row>
    <row r="21" spans="1:10" x14ac:dyDescent="0.3">
      <c r="B21" s="1"/>
      <c r="C21" s="1"/>
      <c r="D21" s="1"/>
      <c r="E21" s="1"/>
      <c r="F21" s="1"/>
      <c r="G21" s="1"/>
      <c r="H21" s="1"/>
    </row>
    <row r="22" spans="1:10" x14ac:dyDescent="0.3">
      <c r="A22" t="s">
        <v>2</v>
      </c>
      <c r="B22" s="1">
        <f>SUM(B2:B21)</f>
        <v>2541000</v>
      </c>
      <c r="C22" s="1"/>
      <c r="D22" s="1">
        <f>SUM(D2:D21)</f>
        <v>2573100</v>
      </c>
      <c r="E22" s="1"/>
      <c r="F22" s="1">
        <f>SUM(F2:F21)</f>
        <v>2563400</v>
      </c>
      <c r="G22" s="1"/>
      <c r="H22" s="1"/>
      <c r="I22" s="1">
        <f>SUM(I2:I21)</f>
        <v>2559166.6666666665</v>
      </c>
      <c r="J22" s="1">
        <f>SUM(J2:J21)</f>
        <v>2558700</v>
      </c>
    </row>
    <row r="23" spans="1:10" x14ac:dyDescent="0.3">
      <c r="A23" t="s">
        <v>3</v>
      </c>
      <c r="B23" s="1">
        <f>AVERAGE(B2:B20)</f>
        <v>133736.84210526315</v>
      </c>
      <c r="C23" s="1"/>
      <c r="D23" s="1">
        <f>AVERAGE(D2:D20)</f>
        <v>135426.31578947368</v>
      </c>
      <c r="E23" s="1"/>
      <c r="F23" s="1">
        <f>AVERAGE(F2:F20)</f>
        <v>134915.78947368421</v>
      </c>
      <c r="G23" s="1"/>
      <c r="H23" s="1"/>
      <c r="I23" s="1">
        <f>AVERAGE(I2:I20)</f>
        <v>134692.98245614034</v>
      </c>
      <c r="J23" s="1">
        <f>AVERAGE(J2:J20)</f>
        <v>134668.42105263157</v>
      </c>
    </row>
    <row r="25" spans="1:10" x14ac:dyDescent="0.3">
      <c r="B25" t="s">
        <v>0</v>
      </c>
      <c r="D25" s="3" t="s">
        <v>1</v>
      </c>
      <c r="F25" t="s">
        <v>4</v>
      </c>
    </row>
    <row r="26" spans="1:10" x14ac:dyDescent="0.3">
      <c r="A26">
        <v>32</v>
      </c>
      <c r="B26" s="1">
        <v>139000</v>
      </c>
      <c r="C26" s="2">
        <v>2</v>
      </c>
      <c r="D26" s="1">
        <v>149900</v>
      </c>
      <c r="E26" s="2">
        <v>1</v>
      </c>
      <c r="F26" s="1">
        <v>139900</v>
      </c>
      <c r="G26" s="2">
        <v>4</v>
      </c>
    </row>
    <row r="27" spans="1:10" x14ac:dyDescent="0.3">
      <c r="A27">
        <v>33</v>
      </c>
      <c r="B27" s="1">
        <v>139000</v>
      </c>
      <c r="C27" s="2">
        <v>2</v>
      </c>
      <c r="D27" s="1">
        <v>149900</v>
      </c>
      <c r="E27" s="2">
        <v>1</v>
      </c>
      <c r="F27" s="1">
        <v>139900</v>
      </c>
      <c r="G27" s="2">
        <v>4</v>
      </c>
    </row>
    <row r="28" spans="1:10" x14ac:dyDescent="0.3">
      <c r="A28">
        <v>37</v>
      </c>
      <c r="B28" s="1">
        <v>149000</v>
      </c>
      <c r="C28" s="2">
        <v>1</v>
      </c>
      <c r="D28" s="1">
        <v>149900</v>
      </c>
      <c r="E28" s="2">
        <v>1</v>
      </c>
      <c r="F28" s="1">
        <v>155900</v>
      </c>
      <c r="G28" s="2">
        <v>1</v>
      </c>
    </row>
    <row r="29" spans="1:10" x14ac:dyDescent="0.3">
      <c r="A29">
        <v>38</v>
      </c>
      <c r="B29" s="1">
        <v>149000</v>
      </c>
      <c r="C29" s="2">
        <v>1</v>
      </c>
      <c r="D29" s="1">
        <v>149900</v>
      </c>
      <c r="E29" s="2">
        <v>1</v>
      </c>
      <c r="F29" s="1">
        <v>149900</v>
      </c>
      <c r="G29" s="2">
        <v>2</v>
      </c>
    </row>
    <row r="30" spans="1:10" x14ac:dyDescent="0.3">
      <c r="A30">
        <v>39</v>
      </c>
      <c r="B30" s="1">
        <v>149000</v>
      </c>
      <c r="C30" s="2">
        <v>1</v>
      </c>
      <c r="D30" s="1">
        <v>149900</v>
      </c>
      <c r="E30" s="2">
        <v>1</v>
      </c>
      <c r="F30" s="1">
        <v>149900</v>
      </c>
      <c r="G30" s="2">
        <v>2</v>
      </c>
    </row>
    <row r="31" spans="1:10" x14ac:dyDescent="0.3">
      <c r="A31">
        <v>34</v>
      </c>
      <c r="B31" s="1">
        <v>139000</v>
      </c>
      <c r="C31" s="2">
        <v>2</v>
      </c>
      <c r="D31" s="1">
        <v>144900</v>
      </c>
      <c r="E31" s="2">
        <v>2</v>
      </c>
      <c r="F31" s="1">
        <v>144900</v>
      </c>
      <c r="G31" s="2">
        <v>3</v>
      </c>
    </row>
    <row r="32" spans="1:10" x14ac:dyDescent="0.3">
      <c r="A32">
        <v>35</v>
      </c>
      <c r="B32" s="1">
        <v>149000</v>
      </c>
      <c r="C32" s="2">
        <v>1</v>
      </c>
      <c r="D32" s="1">
        <v>144900</v>
      </c>
      <c r="E32" s="2">
        <v>2</v>
      </c>
      <c r="F32" s="1">
        <v>155900</v>
      </c>
      <c r="G32" s="2">
        <v>1</v>
      </c>
    </row>
    <row r="33" spans="1:7" x14ac:dyDescent="0.3">
      <c r="A33">
        <v>36</v>
      </c>
      <c r="B33" s="1">
        <v>149000</v>
      </c>
      <c r="C33" s="2">
        <v>1</v>
      </c>
      <c r="D33" s="1">
        <v>144900</v>
      </c>
      <c r="E33" s="2">
        <v>2</v>
      </c>
      <c r="F33" s="1">
        <v>155900</v>
      </c>
      <c r="G33" s="2">
        <v>1</v>
      </c>
    </row>
    <row r="34" spans="1:7" x14ac:dyDescent="0.3">
      <c r="A34">
        <v>43</v>
      </c>
      <c r="B34" s="1">
        <v>139000</v>
      </c>
      <c r="C34" s="2">
        <v>2</v>
      </c>
      <c r="D34" s="1">
        <v>144900</v>
      </c>
      <c r="E34" s="2">
        <v>2</v>
      </c>
      <c r="F34" s="1">
        <v>144900</v>
      </c>
      <c r="G34" s="2">
        <v>3</v>
      </c>
    </row>
    <row r="35" spans="1:7" x14ac:dyDescent="0.3">
      <c r="A35">
        <v>26</v>
      </c>
      <c r="B35" s="1">
        <v>129000</v>
      </c>
      <c r="C35" s="2">
        <v>3</v>
      </c>
      <c r="D35" s="1">
        <v>134900</v>
      </c>
      <c r="E35" s="2">
        <v>3</v>
      </c>
      <c r="F35" s="1">
        <v>129000</v>
      </c>
      <c r="G35" s="2">
        <v>6</v>
      </c>
    </row>
    <row r="36" spans="1:7" x14ac:dyDescent="0.3">
      <c r="A36">
        <v>27</v>
      </c>
      <c r="B36" s="1">
        <v>129000</v>
      </c>
      <c r="C36" s="2">
        <v>3</v>
      </c>
      <c r="D36" s="1">
        <v>134900</v>
      </c>
      <c r="E36" s="2">
        <v>3</v>
      </c>
      <c r="F36" s="1">
        <v>129000</v>
      </c>
      <c r="G36" s="2">
        <v>6</v>
      </c>
    </row>
    <row r="37" spans="1:7" x14ac:dyDescent="0.3">
      <c r="A37">
        <v>42</v>
      </c>
      <c r="B37" s="1">
        <v>129000</v>
      </c>
      <c r="C37" s="2">
        <v>3</v>
      </c>
      <c r="D37" s="1">
        <v>134900</v>
      </c>
      <c r="E37" s="2">
        <v>3</v>
      </c>
      <c r="F37" s="1">
        <v>134900</v>
      </c>
      <c r="G37" s="2">
        <v>5</v>
      </c>
    </row>
    <row r="38" spans="1:7" x14ac:dyDescent="0.3">
      <c r="A38">
        <v>29</v>
      </c>
      <c r="B38" s="1">
        <v>129000</v>
      </c>
      <c r="C38" s="2">
        <v>3</v>
      </c>
      <c r="D38" s="1">
        <v>129900</v>
      </c>
      <c r="E38" s="2">
        <v>4</v>
      </c>
      <c r="F38" s="1">
        <v>124900</v>
      </c>
      <c r="G38" s="2">
        <v>7</v>
      </c>
    </row>
    <row r="39" spans="1:7" x14ac:dyDescent="0.3">
      <c r="A39">
        <v>30</v>
      </c>
      <c r="B39" s="1">
        <v>129000</v>
      </c>
      <c r="C39" s="2">
        <v>3</v>
      </c>
      <c r="D39" s="1">
        <v>129900</v>
      </c>
      <c r="E39" s="2">
        <v>4</v>
      </c>
      <c r="F39" s="1">
        <v>124900</v>
      </c>
      <c r="G39" s="2">
        <v>7</v>
      </c>
    </row>
    <row r="40" spans="1:7" x14ac:dyDescent="0.3">
      <c r="A40">
        <v>31</v>
      </c>
      <c r="B40" s="1">
        <v>129000</v>
      </c>
      <c r="C40" s="2">
        <v>3</v>
      </c>
      <c r="D40" s="1">
        <v>129900</v>
      </c>
      <c r="E40" s="2">
        <v>4</v>
      </c>
      <c r="F40" s="1">
        <v>124900</v>
      </c>
      <c r="G40" s="2">
        <v>7</v>
      </c>
    </row>
    <row r="41" spans="1:7" x14ac:dyDescent="0.3">
      <c r="A41">
        <v>28</v>
      </c>
      <c r="B41" s="1">
        <v>119000</v>
      </c>
      <c r="C41" s="2">
        <v>4</v>
      </c>
      <c r="D41" s="1">
        <v>119900</v>
      </c>
      <c r="E41" s="2">
        <v>5</v>
      </c>
      <c r="F41" s="1">
        <v>119000</v>
      </c>
      <c r="G41" s="2">
        <v>9</v>
      </c>
    </row>
    <row r="42" spans="1:7" x14ac:dyDescent="0.3">
      <c r="A42">
        <v>41</v>
      </c>
      <c r="B42" s="1">
        <v>119000</v>
      </c>
      <c r="C42" s="2">
        <v>4</v>
      </c>
      <c r="D42" s="1">
        <v>119900</v>
      </c>
      <c r="E42" s="2">
        <v>5</v>
      </c>
      <c r="F42" s="1">
        <v>119900</v>
      </c>
      <c r="G42" s="2">
        <v>8</v>
      </c>
    </row>
    <row r="43" spans="1:7" x14ac:dyDescent="0.3">
      <c r="A43">
        <v>2</v>
      </c>
      <c r="B43" s="1">
        <v>109000</v>
      </c>
      <c r="C43" s="2">
        <v>5</v>
      </c>
      <c r="D43" s="1">
        <v>104900</v>
      </c>
      <c r="E43" s="2">
        <v>6</v>
      </c>
      <c r="F43" s="1">
        <v>104900</v>
      </c>
      <c r="G43" s="2">
        <v>11</v>
      </c>
    </row>
    <row r="44" spans="1:7" x14ac:dyDescent="0.3">
      <c r="A44">
        <v>40</v>
      </c>
      <c r="B44" s="1">
        <v>119000</v>
      </c>
      <c r="C44" s="2">
        <v>4</v>
      </c>
      <c r="D44" s="1">
        <v>104900</v>
      </c>
      <c r="E44" s="2">
        <v>6</v>
      </c>
      <c r="F44" s="1">
        <v>114900</v>
      </c>
      <c r="G44" s="2">
        <v>10</v>
      </c>
    </row>
    <row r="46" spans="1:7" x14ac:dyDescent="0.3">
      <c r="B46" t="s">
        <v>0</v>
      </c>
      <c r="D46" t="s">
        <v>1</v>
      </c>
      <c r="F46" s="3" t="s">
        <v>4</v>
      </c>
    </row>
    <row r="47" spans="1:7" x14ac:dyDescent="0.3">
      <c r="A47">
        <v>35</v>
      </c>
      <c r="B47" s="1">
        <v>149000</v>
      </c>
      <c r="C47" s="2">
        <v>1</v>
      </c>
      <c r="D47" s="1">
        <v>144900</v>
      </c>
      <c r="E47" s="2">
        <v>2</v>
      </c>
      <c r="F47" s="1">
        <v>155900</v>
      </c>
      <c r="G47" s="2">
        <v>1</v>
      </c>
    </row>
    <row r="48" spans="1:7" x14ac:dyDescent="0.3">
      <c r="A48">
        <v>36</v>
      </c>
      <c r="B48" s="1">
        <v>149000</v>
      </c>
      <c r="C48" s="2">
        <v>1</v>
      </c>
      <c r="D48" s="1">
        <v>144900</v>
      </c>
      <c r="E48" s="2">
        <v>2</v>
      </c>
      <c r="F48" s="1">
        <v>155900</v>
      </c>
      <c r="G48" s="2">
        <v>1</v>
      </c>
    </row>
    <row r="49" spans="1:7" x14ac:dyDescent="0.3">
      <c r="A49">
        <v>37</v>
      </c>
      <c r="B49" s="1">
        <v>149000</v>
      </c>
      <c r="C49" s="2">
        <v>1</v>
      </c>
      <c r="D49" s="1">
        <v>149900</v>
      </c>
      <c r="E49" s="2">
        <v>1</v>
      </c>
      <c r="F49" s="1">
        <v>155900</v>
      </c>
      <c r="G49" s="2">
        <v>1</v>
      </c>
    </row>
    <row r="50" spans="1:7" x14ac:dyDescent="0.3">
      <c r="A50">
        <v>38</v>
      </c>
      <c r="B50" s="1">
        <v>149000</v>
      </c>
      <c r="C50" s="2">
        <v>1</v>
      </c>
      <c r="D50" s="1">
        <v>149900</v>
      </c>
      <c r="E50" s="2">
        <v>1</v>
      </c>
      <c r="F50" s="1">
        <v>149900</v>
      </c>
      <c r="G50" s="2">
        <v>2</v>
      </c>
    </row>
    <row r="51" spans="1:7" x14ac:dyDescent="0.3">
      <c r="A51">
        <v>39</v>
      </c>
      <c r="B51" s="1">
        <v>149000</v>
      </c>
      <c r="C51" s="2">
        <v>1</v>
      </c>
      <c r="D51" s="1">
        <v>149900</v>
      </c>
      <c r="E51" s="2">
        <v>1</v>
      </c>
      <c r="F51" s="1">
        <v>149900</v>
      </c>
      <c r="G51" s="2">
        <v>2</v>
      </c>
    </row>
    <row r="52" spans="1:7" x14ac:dyDescent="0.3">
      <c r="A52">
        <v>34</v>
      </c>
      <c r="B52" s="1">
        <v>139000</v>
      </c>
      <c r="C52" s="2">
        <v>2</v>
      </c>
      <c r="D52" s="1">
        <v>144900</v>
      </c>
      <c r="E52" s="2">
        <v>2</v>
      </c>
      <c r="F52" s="1">
        <v>144900</v>
      </c>
      <c r="G52" s="2">
        <v>3</v>
      </c>
    </row>
    <row r="53" spans="1:7" x14ac:dyDescent="0.3">
      <c r="A53">
        <v>43</v>
      </c>
      <c r="B53" s="1">
        <v>139000</v>
      </c>
      <c r="C53" s="2">
        <v>2</v>
      </c>
      <c r="D53" s="1">
        <v>144900</v>
      </c>
      <c r="E53" s="2">
        <v>2</v>
      </c>
      <c r="F53" s="1">
        <v>144900</v>
      </c>
      <c r="G53" s="2">
        <v>3</v>
      </c>
    </row>
    <row r="54" spans="1:7" x14ac:dyDescent="0.3">
      <c r="A54">
        <v>32</v>
      </c>
      <c r="B54" s="1">
        <v>139000</v>
      </c>
      <c r="C54" s="2">
        <v>2</v>
      </c>
      <c r="D54" s="1">
        <v>149900</v>
      </c>
      <c r="E54" s="2">
        <v>1</v>
      </c>
      <c r="F54" s="1">
        <v>139900</v>
      </c>
      <c r="G54" s="2">
        <v>4</v>
      </c>
    </row>
    <row r="55" spans="1:7" x14ac:dyDescent="0.3">
      <c r="A55">
        <v>33</v>
      </c>
      <c r="B55" s="1">
        <v>139000</v>
      </c>
      <c r="C55" s="2">
        <v>2</v>
      </c>
      <c r="D55" s="1">
        <v>149900</v>
      </c>
      <c r="E55" s="2">
        <v>1</v>
      </c>
      <c r="F55" s="1">
        <v>139900</v>
      </c>
      <c r="G55" s="2">
        <v>4</v>
      </c>
    </row>
    <row r="56" spans="1:7" x14ac:dyDescent="0.3">
      <c r="A56">
        <v>42</v>
      </c>
      <c r="B56" s="1">
        <v>129000</v>
      </c>
      <c r="C56" s="2">
        <v>3</v>
      </c>
      <c r="D56" s="1">
        <v>134900</v>
      </c>
      <c r="E56" s="2">
        <v>3</v>
      </c>
      <c r="F56" s="1">
        <v>134900</v>
      </c>
      <c r="G56" s="2">
        <v>5</v>
      </c>
    </row>
    <row r="57" spans="1:7" x14ac:dyDescent="0.3">
      <c r="A57">
        <v>26</v>
      </c>
      <c r="B57" s="1">
        <v>129000</v>
      </c>
      <c r="C57" s="2">
        <v>3</v>
      </c>
      <c r="D57" s="1">
        <v>134900</v>
      </c>
      <c r="E57" s="2">
        <v>3</v>
      </c>
      <c r="F57" s="1">
        <v>129000</v>
      </c>
      <c r="G57" s="2">
        <v>6</v>
      </c>
    </row>
    <row r="58" spans="1:7" x14ac:dyDescent="0.3">
      <c r="A58">
        <v>27</v>
      </c>
      <c r="B58" s="1">
        <v>129000</v>
      </c>
      <c r="C58" s="2">
        <v>3</v>
      </c>
      <c r="D58" s="1">
        <v>134900</v>
      </c>
      <c r="E58" s="2">
        <v>3</v>
      </c>
      <c r="F58" s="1">
        <v>129000</v>
      </c>
      <c r="G58" s="2">
        <v>6</v>
      </c>
    </row>
    <row r="59" spans="1:7" x14ac:dyDescent="0.3">
      <c r="A59">
        <v>29</v>
      </c>
      <c r="B59" s="1">
        <v>129000</v>
      </c>
      <c r="C59" s="2">
        <v>3</v>
      </c>
      <c r="D59" s="1">
        <v>129900</v>
      </c>
      <c r="E59" s="2">
        <v>4</v>
      </c>
      <c r="F59" s="1">
        <v>124900</v>
      </c>
      <c r="G59" s="2">
        <v>7</v>
      </c>
    </row>
    <row r="60" spans="1:7" x14ac:dyDescent="0.3">
      <c r="A60">
        <v>30</v>
      </c>
      <c r="B60" s="1">
        <v>129000</v>
      </c>
      <c r="C60" s="2">
        <v>3</v>
      </c>
      <c r="D60" s="1">
        <v>129900</v>
      </c>
      <c r="E60" s="2">
        <v>4</v>
      </c>
      <c r="F60" s="1">
        <v>124900</v>
      </c>
      <c r="G60" s="2">
        <v>7</v>
      </c>
    </row>
    <row r="61" spans="1:7" x14ac:dyDescent="0.3">
      <c r="A61">
        <v>31</v>
      </c>
      <c r="B61" s="1">
        <v>129000</v>
      </c>
      <c r="C61" s="2">
        <v>3</v>
      </c>
      <c r="D61" s="1">
        <v>129900</v>
      </c>
      <c r="E61" s="2">
        <v>4</v>
      </c>
      <c r="F61" s="1">
        <v>124900</v>
      </c>
      <c r="G61" s="2">
        <v>7</v>
      </c>
    </row>
    <row r="62" spans="1:7" x14ac:dyDescent="0.3">
      <c r="A62">
        <v>41</v>
      </c>
      <c r="B62" s="1">
        <v>119000</v>
      </c>
      <c r="C62" s="2">
        <v>4</v>
      </c>
      <c r="D62" s="1">
        <v>119900</v>
      </c>
      <c r="E62" s="2">
        <v>5</v>
      </c>
      <c r="F62" s="1">
        <v>119900</v>
      </c>
      <c r="G62" s="2">
        <v>8</v>
      </c>
    </row>
    <row r="63" spans="1:7" x14ac:dyDescent="0.3">
      <c r="A63">
        <v>28</v>
      </c>
      <c r="B63" s="1">
        <v>119000</v>
      </c>
      <c r="C63" s="2">
        <v>4</v>
      </c>
      <c r="D63" s="1">
        <v>119900</v>
      </c>
      <c r="E63" s="2">
        <v>5</v>
      </c>
      <c r="F63" s="1">
        <v>119000</v>
      </c>
      <c r="G63" s="2">
        <v>9</v>
      </c>
    </row>
    <row r="64" spans="1:7" x14ac:dyDescent="0.3">
      <c r="A64">
        <v>40</v>
      </c>
      <c r="B64" s="1">
        <v>119000</v>
      </c>
      <c r="C64" s="2">
        <v>4</v>
      </c>
      <c r="D64" s="1">
        <v>104900</v>
      </c>
      <c r="E64" s="2">
        <v>6</v>
      </c>
      <c r="F64" s="1">
        <v>114900</v>
      </c>
      <c r="G64" s="2">
        <v>10</v>
      </c>
    </row>
    <row r="65" spans="1:15" x14ac:dyDescent="0.3">
      <c r="A65">
        <v>2</v>
      </c>
      <c r="B65" s="1">
        <v>109000</v>
      </c>
      <c r="C65" s="2">
        <v>5</v>
      </c>
      <c r="D65" s="1">
        <v>104900</v>
      </c>
      <c r="E65" s="2">
        <v>6</v>
      </c>
      <c r="F65" s="1">
        <v>104900</v>
      </c>
      <c r="G65" s="2">
        <v>11</v>
      </c>
    </row>
    <row r="68" spans="1:15" x14ac:dyDescent="0.3">
      <c r="B68" s="8" t="s">
        <v>9</v>
      </c>
      <c r="C68" s="8" t="s">
        <v>10</v>
      </c>
      <c r="D68" t="s">
        <v>11</v>
      </c>
      <c r="E68" s="4" t="s">
        <v>0</v>
      </c>
      <c r="F68" t="s">
        <v>1</v>
      </c>
      <c r="G68" t="s">
        <v>4</v>
      </c>
      <c r="I68" s="3" t="s">
        <v>5</v>
      </c>
      <c r="K68" t="s">
        <v>6</v>
      </c>
      <c r="L68" t="s">
        <v>12</v>
      </c>
      <c r="N68" t="s">
        <v>7</v>
      </c>
      <c r="O68" t="s">
        <v>8</v>
      </c>
    </row>
    <row r="69" spans="1:15" x14ac:dyDescent="0.3">
      <c r="A69">
        <v>2</v>
      </c>
      <c r="B69" s="2">
        <v>44216</v>
      </c>
      <c r="C69" s="5">
        <f>B69/43560</f>
        <v>1.0150596877869604</v>
      </c>
      <c r="D69">
        <v>187</v>
      </c>
      <c r="E69" s="1">
        <v>109000</v>
      </c>
      <c r="F69" s="1">
        <v>104900</v>
      </c>
      <c r="G69" s="1">
        <v>104900</v>
      </c>
      <c r="H69" s="1"/>
      <c r="I69" s="1">
        <v>106500</v>
      </c>
      <c r="K69" s="1">
        <v>104900</v>
      </c>
      <c r="N69" s="7">
        <f>K69/C69</f>
        <v>103343.6764971956</v>
      </c>
      <c r="O69" s="7">
        <f>K69/D69</f>
        <v>560.96256684491982</v>
      </c>
    </row>
    <row r="70" spans="1:15" x14ac:dyDescent="0.3">
      <c r="A70">
        <v>26</v>
      </c>
      <c r="B70" s="2">
        <v>82774</v>
      </c>
      <c r="C70" s="5">
        <f t="shared" ref="C70:C87" si="1">B70/43560</f>
        <v>1.9002295684113866</v>
      </c>
      <c r="D70">
        <v>174</v>
      </c>
      <c r="E70" s="1">
        <v>129000</v>
      </c>
      <c r="F70" s="1">
        <v>134900</v>
      </c>
      <c r="G70" s="1">
        <v>129000</v>
      </c>
      <c r="H70" s="1"/>
      <c r="I70" s="1">
        <v>130900</v>
      </c>
      <c r="K70" s="1">
        <v>139900</v>
      </c>
      <c r="L70" s="1">
        <v>151000</v>
      </c>
      <c r="N70" s="7">
        <f t="shared" ref="N70:N87" si="2">K70/C70</f>
        <v>73622.683451325298</v>
      </c>
      <c r="O70" s="7">
        <f t="shared" ref="O70:O87" si="3">K70/D70</f>
        <v>804.02298850574709</v>
      </c>
    </row>
    <row r="71" spans="1:15" x14ac:dyDescent="0.3">
      <c r="A71">
        <v>27</v>
      </c>
      <c r="B71" s="2">
        <v>58467</v>
      </c>
      <c r="C71" s="5">
        <f t="shared" si="1"/>
        <v>1.3422176308539946</v>
      </c>
      <c r="D71">
        <v>143</v>
      </c>
      <c r="E71" s="1">
        <v>129000</v>
      </c>
      <c r="F71" s="1">
        <v>134900</v>
      </c>
      <c r="G71" s="1">
        <v>129000</v>
      </c>
      <c r="H71" s="1"/>
      <c r="I71" s="1">
        <v>130900</v>
      </c>
      <c r="K71" s="1">
        <v>134900</v>
      </c>
      <c r="L71" s="1">
        <v>140000</v>
      </c>
      <c r="N71" s="7">
        <f t="shared" si="2"/>
        <v>100505.31068808044</v>
      </c>
      <c r="O71" s="7">
        <f t="shared" si="3"/>
        <v>943.3566433566433</v>
      </c>
    </row>
    <row r="72" spans="1:15" x14ac:dyDescent="0.3">
      <c r="A72">
        <v>28</v>
      </c>
      <c r="B72" s="2">
        <v>24458</v>
      </c>
      <c r="C72" s="5">
        <f t="shared" si="1"/>
        <v>0.56147842056932962</v>
      </c>
      <c r="D72">
        <v>112</v>
      </c>
      <c r="E72" s="1">
        <v>119000</v>
      </c>
      <c r="F72" s="1">
        <v>119900</v>
      </c>
      <c r="G72" s="1">
        <v>119000</v>
      </c>
      <c r="H72" s="1"/>
      <c r="I72" s="1">
        <v>119500</v>
      </c>
      <c r="K72" s="1">
        <v>119900</v>
      </c>
      <c r="L72" s="1">
        <v>125000</v>
      </c>
      <c r="N72" s="7">
        <f t="shared" si="2"/>
        <v>213543.38048900157</v>
      </c>
      <c r="O72" s="7">
        <f t="shared" si="3"/>
        <v>1070.5357142857142</v>
      </c>
    </row>
    <row r="73" spans="1:15" x14ac:dyDescent="0.3">
      <c r="A73">
        <v>29</v>
      </c>
      <c r="B73" s="2">
        <v>26116</v>
      </c>
      <c r="C73" s="5">
        <f t="shared" si="1"/>
        <v>0.59954086317722677</v>
      </c>
      <c r="D73">
        <v>137</v>
      </c>
      <c r="E73" s="1">
        <v>129000</v>
      </c>
      <c r="F73" s="1">
        <v>129900</v>
      </c>
      <c r="G73" s="1">
        <v>124900</v>
      </c>
      <c r="H73" s="1"/>
      <c r="I73" s="1">
        <v>127900</v>
      </c>
      <c r="K73" s="1">
        <v>127900</v>
      </c>
      <c r="L73" s="1">
        <v>126000</v>
      </c>
      <c r="N73" s="7">
        <f t="shared" si="2"/>
        <v>213329.91269719714</v>
      </c>
      <c r="O73" s="7">
        <f t="shared" si="3"/>
        <v>933.57664233576645</v>
      </c>
    </row>
    <row r="74" spans="1:15" x14ac:dyDescent="0.3">
      <c r="A74">
        <v>30</v>
      </c>
      <c r="B74" s="2">
        <v>23997</v>
      </c>
      <c r="C74" s="5">
        <f t="shared" si="1"/>
        <v>0.55089531680440773</v>
      </c>
      <c r="D74">
        <v>145</v>
      </c>
      <c r="E74" s="1">
        <v>129000</v>
      </c>
      <c r="F74" s="1">
        <v>129900</v>
      </c>
      <c r="G74" s="1">
        <v>124900</v>
      </c>
      <c r="H74" s="1"/>
      <c r="I74" s="1">
        <v>127900</v>
      </c>
      <c r="K74" s="1">
        <v>127900</v>
      </c>
      <c r="L74" s="1">
        <v>125000</v>
      </c>
      <c r="N74" s="7">
        <f t="shared" si="2"/>
        <v>232167.52094011751</v>
      </c>
      <c r="O74" s="7">
        <f t="shared" si="3"/>
        <v>882.06896551724139</v>
      </c>
    </row>
    <row r="75" spans="1:15" x14ac:dyDescent="0.3">
      <c r="A75">
        <v>31</v>
      </c>
      <c r="B75" s="2">
        <v>24844</v>
      </c>
      <c r="C75" s="5">
        <f t="shared" si="1"/>
        <v>0.57033976124885211</v>
      </c>
      <c r="D75">
        <v>111</v>
      </c>
      <c r="E75" s="1">
        <v>129000</v>
      </c>
      <c r="F75" s="1">
        <v>129900</v>
      </c>
      <c r="G75" s="1">
        <v>124900</v>
      </c>
      <c r="H75" s="1"/>
      <c r="I75" s="1">
        <v>127900</v>
      </c>
      <c r="K75" s="1">
        <v>127900</v>
      </c>
      <c r="L75" s="1">
        <v>125000</v>
      </c>
      <c r="N75" s="7">
        <f t="shared" si="2"/>
        <v>224252.2943165352</v>
      </c>
      <c r="O75" s="7">
        <f t="shared" si="3"/>
        <v>1152.2522522522522</v>
      </c>
    </row>
    <row r="76" spans="1:15" x14ac:dyDescent="0.3">
      <c r="A76">
        <v>32</v>
      </c>
      <c r="B76" s="2">
        <v>35169</v>
      </c>
      <c r="C76" s="5">
        <f t="shared" si="1"/>
        <v>0.80736914600550969</v>
      </c>
      <c r="D76">
        <v>110</v>
      </c>
      <c r="E76" s="1">
        <v>139000</v>
      </c>
      <c r="F76" s="1">
        <v>149900</v>
      </c>
      <c r="G76" s="1">
        <v>139900</v>
      </c>
      <c r="H76" s="1"/>
      <c r="I76" s="1">
        <v>142900</v>
      </c>
      <c r="K76" s="6">
        <v>146900</v>
      </c>
      <c r="L76" s="1">
        <v>130000</v>
      </c>
      <c r="N76" s="7">
        <f t="shared" si="2"/>
        <v>181948.98916659557</v>
      </c>
      <c r="O76" s="7">
        <f t="shared" si="3"/>
        <v>1335.4545454545455</v>
      </c>
    </row>
    <row r="77" spans="1:15" x14ac:dyDescent="0.3">
      <c r="A77">
        <v>33</v>
      </c>
      <c r="B77" s="2">
        <v>30165</v>
      </c>
      <c r="C77" s="5">
        <f t="shared" si="1"/>
        <v>0.69249311294765836</v>
      </c>
      <c r="D77">
        <v>110</v>
      </c>
      <c r="E77" s="1">
        <v>139000</v>
      </c>
      <c r="F77" s="1">
        <v>149900</v>
      </c>
      <c r="G77" s="1">
        <v>139900</v>
      </c>
      <c r="H77" s="1"/>
      <c r="I77" s="1">
        <v>142900</v>
      </c>
      <c r="K77" s="6">
        <v>142900</v>
      </c>
      <c r="L77" s="1">
        <v>128000</v>
      </c>
      <c r="N77" s="7">
        <f t="shared" si="2"/>
        <v>206355.84286424666</v>
      </c>
      <c r="O77" s="7">
        <f t="shared" si="3"/>
        <v>1299.090909090909</v>
      </c>
    </row>
    <row r="78" spans="1:15" x14ac:dyDescent="0.3">
      <c r="A78">
        <v>34</v>
      </c>
      <c r="B78" s="2">
        <v>29203</v>
      </c>
      <c r="C78" s="5">
        <f t="shared" si="1"/>
        <v>0.67040863177226817</v>
      </c>
      <c r="D78">
        <v>111</v>
      </c>
      <c r="E78" s="1">
        <v>139000</v>
      </c>
      <c r="F78" s="1">
        <v>144900</v>
      </c>
      <c r="G78" s="1">
        <v>144900</v>
      </c>
      <c r="H78" s="1"/>
      <c r="I78" s="1">
        <v>142900</v>
      </c>
      <c r="K78" s="6">
        <v>142900</v>
      </c>
      <c r="L78" s="1">
        <v>127000</v>
      </c>
      <c r="N78" s="7">
        <f t="shared" si="2"/>
        <v>213153.58011163236</v>
      </c>
      <c r="O78" s="7">
        <f t="shared" si="3"/>
        <v>1287.3873873873874</v>
      </c>
    </row>
    <row r="79" spans="1:15" x14ac:dyDescent="0.3">
      <c r="A79">
        <v>35</v>
      </c>
      <c r="B79" s="2">
        <v>41150</v>
      </c>
      <c r="C79" s="5">
        <f t="shared" si="1"/>
        <v>0.94467401285583108</v>
      </c>
      <c r="D79">
        <v>127</v>
      </c>
      <c r="E79" s="1">
        <v>149000</v>
      </c>
      <c r="F79" s="1">
        <v>144900</v>
      </c>
      <c r="G79" s="1">
        <v>155900</v>
      </c>
      <c r="H79" s="1"/>
      <c r="I79" s="1">
        <v>149900</v>
      </c>
      <c r="K79" s="6">
        <v>149900</v>
      </c>
      <c r="L79" s="1">
        <v>124000</v>
      </c>
      <c r="N79" s="7">
        <f t="shared" si="2"/>
        <v>158679.07654921021</v>
      </c>
      <c r="O79" s="7">
        <f t="shared" si="3"/>
        <v>1180.3149606299212</v>
      </c>
    </row>
    <row r="80" spans="1:15" x14ac:dyDescent="0.3">
      <c r="A80">
        <v>36</v>
      </c>
      <c r="B80" s="2">
        <v>45284</v>
      </c>
      <c r="C80" s="5">
        <f t="shared" si="1"/>
        <v>1.0395775941230487</v>
      </c>
      <c r="D80">
        <v>221</v>
      </c>
      <c r="E80" s="1">
        <v>149000</v>
      </c>
      <c r="F80" s="1">
        <v>144900</v>
      </c>
      <c r="G80" s="1">
        <v>155900</v>
      </c>
      <c r="H80" s="1"/>
      <c r="I80" s="1">
        <v>149900</v>
      </c>
      <c r="K80" s="6">
        <v>149900</v>
      </c>
      <c r="L80" s="1">
        <v>133000</v>
      </c>
      <c r="N80" s="7">
        <f t="shared" si="2"/>
        <v>144193.18081441568</v>
      </c>
      <c r="O80" s="7">
        <f t="shared" si="3"/>
        <v>678.2805429864253</v>
      </c>
    </row>
    <row r="81" spans="1:16" x14ac:dyDescent="0.3">
      <c r="A81">
        <v>37</v>
      </c>
      <c r="B81" s="2">
        <v>73150</v>
      </c>
      <c r="C81" s="5">
        <f t="shared" si="1"/>
        <v>1.6792929292929293</v>
      </c>
      <c r="D81">
        <v>310</v>
      </c>
      <c r="E81" s="1">
        <v>149000</v>
      </c>
      <c r="F81" s="1">
        <v>149900</v>
      </c>
      <c r="G81" s="1">
        <v>155900</v>
      </c>
      <c r="H81" s="1"/>
      <c r="I81" s="1">
        <v>151500</v>
      </c>
      <c r="K81" s="6">
        <v>154900</v>
      </c>
      <c r="L81" s="1">
        <v>154000</v>
      </c>
      <c r="N81" s="7">
        <f t="shared" si="2"/>
        <v>92241.203007518794</v>
      </c>
      <c r="O81" s="7">
        <f t="shared" si="3"/>
        <v>499.67741935483872</v>
      </c>
    </row>
    <row r="82" spans="1:16" x14ac:dyDescent="0.3">
      <c r="A82">
        <v>38</v>
      </c>
      <c r="B82" s="2">
        <v>73675</v>
      </c>
      <c r="C82" s="5">
        <f t="shared" si="1"/>
        <v>1.6913452708907255</v>
      </c>
      <c r="D82">
        <v>238</v>
      </c>
      <c r="E82" s="1">
        <v>149000</v>
      </c>
      <c r="F82" s="1">
        <v>149900</v>
      </c>
      <c r="G82" s="1">
        <v>149900</v>
      </c>
      <c r="H82" s="1"/>
      <c r="I82" s="1">
        <v>149500</v>
      </c>
      <c r="K82" s="6">
        <v>149900</v>
      </c>
      <c r="L82" s="1">
        <v>154000</v>
      </c>
      <c r="N82" s="7">
        <f t="shared" si="2"/>
        <v>88627.675602307427</v>
      </c>
      <c r="O82" s="7">
        <f t="shared" si="3"/>
        <v>629.8319327731092</v>
      </c>
    </row>
    <row r="83" spans="1:16" x14ac:dyDescent="0.3">
      <c r="A83">
        <v>39</v>
      </c>
      <c r="B83" s="2">
        <v>72285</v>
      </c>
      <c r="C83" s="5">
        <f t="shared" si="1"/>
        <v>1.6594352617079891</v>
      </c>
      <c r="D83">
        <v>280</v>
      </c>
      <c r="E83" s="1">
        <v>149000</v>
      </c>
      <c r="F83" s="1">
        <v>149900</v>
      </c>
      <c r="G83" s="1">
        <v>149900</v>
      </c>
      <c r="H83" s="1"/>
      <c r="I83" s="1">
        <v>149500</v>
      </c>
      <c r="K83" s="6">
        <v>149900</v>
      </c>
      <c r="L83" s="1">
        <v>154000</v>
      </c>
      <c r="N83" s="7">
        <f t="shared" si="2"/>
        <v>90331.93608632496</v>
      </c>
      <c r="O83" s="7">
        <f t="shared" si="3"/>
        <v>535.35714285714289</v>
      </c>
    </row>
    <row r="84" spans="1:16" x14ac:dyDescent="0.3">
      <c r="A84">
        <v>40</v>
      </c>
      <c r="B84" s="2">
        <v>28594</v>
      </c>
      <c r="C84" s="5">
        <f t="shared" si="1"/>
        <v>0.65642791551882462</v>
      </c>
      <c r="D84">
        <v>122</v>
      </c>
      <c r="E84" s="1">
        <v>119000</v>
      </c>
      <c r="F84" s="1">
        <v>104900</v>
      </c>
      <c r="G84" s="1">
        <v>114900</v>
      </c>
      <c r="H84" s="1"/>
      <c r="I84" s="1">
        <v>112900</v>
      </c>
      <c r="K84" s="1">
        <v>114900</v>
      </c>
      <c r="L84" s="1">
        <v>127000</v>
      </c>
      <c r="N84" s="7">
        <f t="shared" si="2"/>
        <v>175038.25977477792</v>
      </c>
      <c r="O84" s="7">
        <f t="shared" si="3"/>
        <v>941.80327868852464</v>
      </c>
    </row>
    <row r="85" spans="1:16" x14ac:dyDescent="0.3">
      <c r="A85">
        <v>41</v>
      </c>
      <c r="B85" s="2">
        <v>23517</v>
      </c>
      <c r="C85" s="5">
        <f t="shared" si="1"/>
        <v>0.53987603305785126</v>
      </c>
      <c r="D85">
        <v>124</v>
      </c>
      <c r="E85" s="1">
        <v>119000</v>
      </c>
      <c r="F85" s="1">
        <v>119900</v>
      </c>
      <c r="G85" s="1">
        <v>119900</v>
      </c>
      <c r="H85" s="1"/>
      <c r="I85" s="1">
        <v>119500</v>
      </c>
      <c r="K85" s="1">
        <v>124900</v>
      </c>
      <c r="L85" s="1">
        <v>132000</v>
      </c>
      <c r="N85" s="7">
        <f t="shared" si="2"/>
        <v>231349.40681209337</v>
      </c>
      <c r="O85" s="7">
        <f t="shared" si="3"/>
        <v>1007.258064516129</v>
      </c>
    </row>
    <row r="86" spans="1:16" x14ac:dyDescent="0.3">
      <c r="A86">
        <v>42</v>
      </c>
      <c r="B86" s="2">
        <v>44737</v>
      </c>
      <c r="C86" s="5">
        <f t="shared" si="1"/>
        <v>1.0270202020202019</v>
      </c>
      <c r="D86">
        <v>115</v>
      </c>
      <c r="E86" s="1">
        <v>129000</v>
      </c>
      <c r="F86" s="1">
        <v>134900</v>
      </c>
      <c r="G86" s="1">
        <v>134900</v>
      </c>
      <c r="H86" s="1"/>
      <c r="I86" s="1">
        <v>132900</v>
      </c>
      <c r="K86" s="1">
        <v>134900</v>
      </c>
      <c r="L86" s="1">
        <v>134000</v>
      </c>
      <c r="N86" s="7">
        <f t="shared" si="2"/>
        <v>131350.87287927221</v>
      </c>
      <c r="O86" s="7">
        <f t="shared" si="3"/>
        <v>1173.0434782608695</v>
      </c>
    </row>
    <row r="87" spans="1:16" x14ac:dyDescent="0.3">
      <c r="A87">
        <v>43</v>
      </c>
      <c r="B87" s="2">
        <v>59520</v>
      </c>
      <c r="C87" s="5">
        <f t="shared" si="1"/>
        <v>1.3663911845730028</v>
      </c>
      <c r="D87">
        <v>111</v>
      </c>
      <c r="E87" s="1">
        <v>139000</v>
      </c>
      <c r="F87" s="1">
        <v>144900</v>
      </c>
      <c r="G87" s="1">
        <v>144900</v>
      </c>
      <c r="H87" s="1"/>
      <c r="I87" s="1">
        <v>142900</v>
      </c>
      <c r="K87" s="1">
        <v>144900</v>
      </c>
      <c r="L87" s="1">
        <v>141000</v>
      </c>
      <c r="N87" s="7">
        <f t="shared" si="2"/>
        <v>106045.76612903226</v>
      </c>
      <c r="O87" s="7">
        <f t="shared" si="3"/>
        <v>1305.4054054054054</v>
      </c>
    </row>
    <row r="88" spans="1:16" x14ac:dyDescent="0.3">
      <c r="E88" s="1"/>
      <c r="F88" s="1"/>
      <c r="G88" s="1"/>
      <c r="H88" s="1"/>
      <c r="I88" s="1"/>
      <c r="J88" s="1"/>
      <c r="K88" s="1"/>
    </row>
    <row r="89" spans="1:16" x14ac:dyDescent="0.3">
      <c r="A89" t="s">
        <v>2</v>
      </c>
      <c r="E89" s="1">
        <f>SUM(E69:E88)</f>
        <v>2541000</v>
      </c>
      <c r="F89" s="1">
        <f t="shared" ref="F89:G89" si="4">SUM(F69:F88)</f>
        <v>2573100</v>
      </c>
      <c r="G89" s="1">
        <f t="shared" si="4"/>
        <v>2563400</v>
      </c>
      <c r="H89" s="1"/>
      <c r="I89" s="1">
        <f>SUM(I69:I88)</f>
        <v>2558700</v>
      </c>
      <c r="J89" s="1"/>
      <c r="K89" s="1">
        <f t="shared" ref="K89:L89" si="5">SUM(K69:K88)</f>
        <v>2590100</v>
      </c>
      <c r="L89" s="1">
        <f t="shared" si="5"/>
        <v>2430000</v>
      </c>
      <c r="M89" s="1"/>
      <c r="N89" s="1"/>
      <c r="O89" s="1"/>
      <c r="P89" s="1"/>
    </row>
    <row r="90" spans="1:16" x14ac:dyDescent="0.3">
      <c r="A90" t="s">
        <v>3</v>
      </c>
      <c r="E90" s="1">
        <f>AVERAGE(E69:E87)</f>
        <v>133736.84210526315</v>
      </c>
      <c r="F90" s="1">
        <f t="shared" ref="F90:G90" si="6">AVERAGE(F69:F87)</f>
        <v>135426.31578947368</v>
      </c>
      <c r="G90" s="1">
        <f t="shared" si="6"/>
        <v>134915.78947368421</v>
      </c>
      <c r="H90" s="1"/>
      <c r="I90" s="1">
        <f>AVERAGE(I69:I87)</f>
        <v>134668.42105263157</v>
      </c>
      <c r="J90" s="1"/>
      <c r="K90" s="1">
        <f t="shared" ref="K90" si="7">AVERAGE(K69:K87)</f>
        <v>136321.05263157896</v>
      </c>
      <c r="L90" s="1">
        <f t="shared" ref="L90" si="8">AVERAGE(L69:L87)</f>
        <v>135000</v>
      </c>
      <c r="M90" s="1"/>
      <c r="N90" s="1">
        <f t="shared" ref="N90:O90" si="9">AVERAGE(N69:N87)</f>
        <v>156846.34573036211</v>
      </c>
      <c r="O90" s="1">
        <f t="shared" si="9"/>
        <v>958.93057055281565</v>
      </c>
      <c r="P90" s="1"/>
    </row>
  </sheetData>
  <sortState xmlns:xlrd2="http://schemas.microsoft.com/office/spreadsheetml/2017/richdata2" ref="A69:I87">
    <sortCondition ref="A69:A87"/>
  </sortState>
  <pageMargins left="0.7" right="0.7" top="0.75" bottom="0.75" header="0.3" footer="0.3"/>
  <pageSetup scale="3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97EF70-B426-44B2-A575-946E7298711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131A32E-1C90-4AC6-A353-05B5663347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5D621-DFB9-48B7-8F3C-229CEFB499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Scafe</dc:creator>
  <cp:lastModifiedBy>Jeff Klaasen</cp:lastModifiedBy>
  <cp:lastPrinted>2021-04-16T13:15:22Z</cp:lastPrinted>
  <dcterms:created xsi:type="dcterms:W3CDTF">2021-03-29T14:31:11Z</dcterms:created>
  <dcterms:modified xsi:type="dcterms:W3CDTF">2021-04-16T13:15:39Z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