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43 North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6" i="1" l="1"/>
  <c r="N27" i="1"/>
  <c r="U9" i="1"/>
  <c r="R13" i="1" l="1"/>
  <c r="U5" i="1" l="1"/>
  <c r="U21" i="1"/>
  <c r="U23" i="1" s="1"/>
  <c r="U10" i="1"/>
  <c r="S19" i="1"/>
  <c r="S18" i="1"/>
  <c r="S17" i="1"/>
  <c r="S16" i="1"/>
  <c r="S15" i="1"/>
  <c r="S14" i="1"/>
  <c r="S13" i="1"/>
  <c r="S12" i="1"/>
  <c r="S11" i="1"/>
  <c r="S10" i="1"/>
  <c r="S9" i="1"/>
  <c r="S21" i="1" s="1"/>
  <c r="S5" i="1"/>
  <c r="O19" i="1"/>
  <c r="O18" i="1"/>
  <c r="O17" i="1"/>
  <c r="O16" i="1"/>
  <c r="O15" i="1"/>
  <c r="O14" i="1"/>
  <c r="O13" i="1"/>
  <c r="O12" i="1"/>
  <c r="O11" i="1"/>
  <c r="O10" i="1"/>
  <c r="O9" i="1"/>
  <c r="O21" i="1" s="1"/>
  <c r="O5" i="1"/>
  <c r="K19" i="1"/>
  <c r="K18" i="1"/>
  <c r="K17" i="1"/>
  <c r="K16" i="1"/>
  <c r="K15" i="1"/>
  <c r="K14" i="1"/>
  <c r="K13" i="1"/>
  <c r="K12" i="1"/>
  <c r="K11" i="1"/>
  <c r="K10" i="1"/>
  <c r="K9" i="1"/>
  <c r="K21" i="1" s="1"/>
  <c r="K5" i="1"/>
  <c r="G21" i="1"/>
  <c r="G19" i="1"/>
  <c r="G18" i="1"/>
  <c r="G17" i="1"/>
  <c r="G16" i="1"/>
  <c r="G15" i="1"/>
  <c r="G14" i="1"/>
  <c r="G13" i="1"/>
  <c r="G12" i="1"/>
  <c r="G11" i="1"/>
  <c r="G10" i="1"/>
  <c r="G9" i="1"/>
  <c r="G5" i="1"/>
  <c r="R21" i="1"/>
  <c r="N21" i="1"/>
  <c r="J21" i="1"/>
  <c r="F21" i="1"/>
  <c r="Q21" i="1"/>
  <c r="M21" i="1"/>
  <c r="I21" i="1"/>
  <c r="E21" i="1"/>
  <c r="R14" i="1"/>
  <c r="J14" i="1"/>
  <c r="F14" i="1"/>
  <c r="R23" i="1" l="1"/>
  <c r="R9" i="1"/>
  <c r="N9" i="1"/>
  <c r="N12" i="1"/>
  <c r="N23" i="1" s="1"/>
  <c r="J23" i="1"/>
  <c r="J9" i="1"/>
  <c r="J12" i="1"/>
  <c r="F23" i="1"/>
  <c r="F25" i="1" s="1"/>
  <c r="J25" i="1" l="1"/>
  <c r="N25" i="1"/>
  <c r="R25" i="1" s="1"/>
  <c r="U25" i="1" s="1"/>
</calcChain>
</file>

<file path=xl/sharedStrings.xml><?xml version="1.0" encoding="utf-8"?>
<sst xmlns="http://schemas.openxmlformats.org/spreadsheetml/2006/main" count="41" uniqueCount="30">
  <si>
    <t>43 North Condo Association</t>
  </si>
  <si>
    <t>Income</t>
  </si>
  <si>
    <t>Total</t>
  </si>
  <si>
    <t>Expenses</t>
  </si>
  <si>
    <t>Annual Dues/Initial Entry Fees</t>
  </si>
  <si>
    <t>Insurance</t>
  </si>
  <si>
    <t>Snow Plowing Salting</t>
  </si>
  <si>
    <t>Utilities (Electric for entry sign)</t>
  </si>
  <si>
    <t>Surplus/Shortfall</t>
  </si>
  <si>
    <t>Accounting/Legal</t>
  </si>
  <si>
    <t>Budget</t>
  </si>
  <si>
    <t>Private Road Maintenance</t>
  </si>
  <si>
    <t>Management Fee</t>
  </si>
  <si>
    <t>Reserve</t>
  </si>
  <si>
    <t>Bank Charges</t>
  </si>
  <si>
    <t>Reserve Balance</t>
  </si>
  <si>
    <t>Garbage Removal</t>
  </si>
  <si>
    <t>Office (Assoc Checks, filing fee)</t>
  </si>
  <si>
    <t>YTD 2018</t>
  </si>
  <si>
    <t>Actual</t>
  </si>
  <si>
    <t>B/(W) BUD</t>
  </si>
  <si>
    <t>Projected</t>
  </si>
  <si>
    <t>2018 Actual</t>
  </si>
  <si>
    <t>Additional Dues Needed per Lot</t>
  </si>
  <si>
    <t>2019 Projected Dues</t>
  </si>
  <si>
    <t>2018 Projected Shortfall</t>
  </si>
  <si>
    <t>** 4th Quarter Billing</t>
  </si>
  <si>
    <t>*** 2018 Season Contract Amt.</t>
  </si>
  <si>
    <t>**** Annual Run Rate</t>
  </si>
  <si>
    <t>Landscaping//Lawn Mowing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</si>
</sst>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center"/>
    </xf>
    <xf numFmtId="43" fontId="0" fillId="3" borderId="1" xfId="1" applyFont="1" applyFill="1" applyBorder="1"/>
    <xf numFmtId="43" fontId="0" fillId="3" borderId="3" xfId="1" applyFont="1" applyFill="1" applyBorder="1"/>
    <xf numFmtId="43" fontId="0" fillId="3" borderId="4" xfId="1" applyFont="1" applyFill="1" applyBorder="1"/>
    <xf numFmtId="43" fontId="0" fillId="3" borderId="5" xfId="1" applyFont="1" applyFill="1" applyBorder="1"/>
    <xf numFmtId="43" fontId="0" fillId="2" borderId="5" xfId="1" applyFont="1" applyFill="1" applyBorder="1"/>
    <xf numFmtId="43" fontId="0" fillId="3" borderId="6" xfId="1" applyFont="1" applyFill="1" applyBorder="1"/>
    <xf numFmtId="43" fontId="0" fillId="3" borderId="7" xfId="1" applyFont="1" applyFill="1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43" fontId="0" fillId="0" borderId="12" xfId="1" applyFont="1" applyBorder="1"/>
    <xf numFmtId="43" fontId="0" fillId="0" borderId="13" xfId="1" applyFont="1" applyBorder="1"/>
    <xf numFmtId="43" fontId="0" fillId="0" borderId="11" xfId="1" applyFont="1" applyBorder="1"/>
    <xf numFmtId="43" fontId="0" fillId="0" borderId="14" xfId="1" applyFont="1" applyBorder="1"/>
    <xf numFmtId="0" fontId="0" fillId="3" borderId="4" xfId="0" applyFill="1" applyBorder="1"/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43" fontId="0" fillId="0" borderId="15" xfId="0" applyNumberFormat="1" applyBorder="1"/>
    <xf numFmtId="43" fontId="0" fillId="0" borderId="16" xfId="1" applyFont="1" applyBorder="1"/>
    <xf numFmtId="43" fontId="0" fillId="0" borderId="17" xfId="1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8"/>
  <sheetViews>
    <sheetView tabSelected="1" topLeftCell="H5" workbookViewId="0">
      <selection activeCell="U27" sqref="U27"/>
    </sheetView>
  </sheetViews>
  <sheetFormatPr defaultRowHeight="15" x14ac:dyDescent="0.25"/>
  <cols>
    <col min="2" max="2" width="16.140625" customWidth="1"/>
    <col min="5" max="5" width="10.5703125" bestFit="1" customWidth="1"/>
    <col min="6" max="6" width="9.5703125" bestFit="1" customWidth="1"/>
    <col min="7" max="7" width="10.42578125" bestFit="1" customWidth="1"/>
    <col min="9" max="10" width="10.5703125" bestFit="1" customWidth="1"/>
    <col min="11" max="11" width="10.5703125" customWidth="1"/>
    <col min="13" max="14" width="10.5703125" bestFit="1" customWidth="1"/>
    <col min="15" max="15" width="10.5703125" customWidth="1"/>
    <col min="17" max="18" width="10.5703125" bestFit="1" customWidth="1"/>
    <col min="19" max="19" width="10.42578125" bestFit="1" customWidth="1"/>
    <col min="21" max="21" width="10.5703125" bestFit="1" customWidth="1"/>
    <col min="22" max="22" width="9.5703125" bestFit="1" customWidth="1"/>
  </cols>
  <sheetData>
    <row r="1" spans="1:22" ht="15.75" thickBot="1" x14ac:dyDescent="0.3">
      <c r="A1" t="s">
        <v>0</v>
      </c>
    </row>
    <row r="2" spans="1:22" x14ac:dyDescent="0.25">
      <c r="E2" s="28">
        <v>2015</v>
      </c>
      <c r="F2" s="29"/>
      <c r="G2" s="30"/>
      <c r="I2" s="28">
        <v>2016</v>
      </c>
      <c r="J2" s="29"/>
      <c r="K2" s="30"/>
      <c r="L2" s="3"/>
      <c r="M2" s="28">
        <v>2017</v>
      </c>
      <c r="N2" s="29"/>
      <c r="O2" s="30"/>
      <c r="P2" s="3"/>
      <c r="Q2" s="28" t="s">
        <v>18</v>
      </c>
      <c r="R2" s="29"/>
      <c r="S2" s="30"/>
      <c r="U2" s="22" t="s">
        <v>21</v>
      </c>
    </row>
    <row r="3" spans="1:22" x14ac:dyDescent="0.25">
      <c r="E3" s="19" t="s">
        <v>10</v>
      </c>
      <c r="F3" s="20" t="s">
        <v>19</v>
      </c>
      <c r="G3" s="21" t="s">
        <v>20</v>
      </c>
      <c r="H3" s="3"/>
      <c r="I3" s="19" t="s">
        <v>10</v>
      </c>
      <c r="J3" s="20" t="s">
        <v>19</v>
      </c>
      <c r="K3" s="21" t="s">
        <v>20</v>
      </c>
      <c r="L3" s="3"/>
      <c r="M3" s="19" t="s">
        <v>10</v>
      </c>
      <c r="N3" s="20" t="s">
        <v>19</v>
      </c>
      <c r="O3" s="21" t="s">
        <v>20</v>
      </c>
      <c r="P3" s="3"/>
      <c r="Q3" s="19" t="s">
        <v>10</v>
      </c>
      <c r="R3" s="20" t="s">
        <v>19</v>
      </c>
      <c r="S3" s="21" t="s">
        <v>20</v>
      </c>
      <c r="U3" s="23" t="s">
        <v>22</v>
      </c>
    </row>
    <row r="4" spans="1:22" ht="15.75" thickBot="1" x14ac:dyDescent="0.3">
      <c r="A4" t="s">
        <v>1</v>
      </c>
      <c r="E4" s="11"/>
      <c r="F4" s="13"/>
      <c r="G4" s="12"/>
      <c r="I4" s="11"/>
      <c r="J4" s="13"/>
      <c r="K4" s="12"/>
      <c r="M4" s="11"/>
      <c r="N4" s="13"/>
      <c r="O4" s="12"/>
      <c r="Q4" s="11"/>
      <c r="R4" s="13"/>
      <c r="S4" s="12"/>
      <c r="U4" s="24"/>
    </row>
    <row r="5" spans="1:22" x14ac:dyDescent="0.25">
      <c r="B5" t="s">
        <v>4</v>
      </c>
      <c r="E5" s="4">
        <v>12500</v>
      </c>
      <c r="F5" s="14">
        <v>8391.02</v>
      </c>
      <c r="G5" s="5">
        <f>F5-E5</f>
        <v>-4108.9799999999996</v>
      </c>
      <c r="H5" s="1"/>
      <c r="I5" s="4">
        <v>12550</v>
      </c>
      <c r="J5" s="14">
        <v>14061.55</v>
      </c>
      <c r="K5" s="5">
        <f>J5-I5</f>
        <v>1511.5499999999993</v>
      </c>
      <c r="L5" s="1"/>
      <c r="M5" s="4">
        <v>12550</v>
      </c>
      <c r="N5" s="14">
        <v>12050</v>
      </c>
      <c r="O5" s="5">
        <f>N5-M5</f>
        <v>-500</v>
      </c>
      <c r="P5" s="1"/>
      <c r="Q5" s="4">
        <v>12550</v>
      </c>
      <c r="R5" s="14">
        <v>12150</v>
      </c>
      <c r="S5" s="5">
        <f>R5-Q5</f>
        <v>-400</v>
      </c>
      <c r="U5" s="25">
        <f>R5</f>
        <v>12150</v>
      </c>
    </row>
    <row r="6" spans="1:22" x14ac:dyDescent="0.25">
      <c r="E6" s="18"/>
      <c r="F6" s="15"/>
      <c r="G6" s="7"/>
      <c r="H6" s="1"/>
      <c r="I6" s="18"/>
      <c r="J6" s="15"/>
      <c r="K6" s="7"/>
      <c r="L6" s="1"/>
      <c r="M6" s="18"/>
      <c r="N6" s="15"/>
      <c r="O6" s="7"/>
      <c r="P6" s="1"/>
      <c r="Q6" s="6"/>
      <c r="R6" s="15"/>
      <c r="S6" s="7"/>
      <c r="U6" s="23"/>
    </row>
    <row r="7" spans="1:22" x14ac:dyDescent="0.25">
      <c r="E7" s="18"/>
      <c r="F7" s="15"/>
      <c r="G7" s="7"/>
      <c r="H7" s="1"/>
      <c r="I7" s="18"/>
      <c r="J7" s="15"/>
      <c r="K7" s="7"/>
      <c r="L7" s="1"/>
      <c r="M7" s="18"/>
      <c r="N7" s="15"/>
      <c r="O7" s="7"/>
      <c r="P7" s="1"/>
      <c r="Q7" s="6"/>
      <c r="R7" s="15"/>
      <c r="S7" s="7"/>
      <c r="U7" s="23"/>
    </row>
    <row r="8" spans="1:22" x14ac:dyDescent="0.25">
      <c r="A8" t="s">
        <v>3</v>
      </c>
      <c r="E8" s="18"/>
      <c r="F8" s="15"/>
      <c r="G8" s="7"/>
      <c r="H8" s="1"/>
      <c r="I8" s="18"/>
      <c r="J8" s="15"/>
      <c r="K8" s="7"/>
      <c r="L8" s="1"/>
      <c r="M8" s="18"/>
      <c r="N8" s="15"/>
      <c r="O8" s="7"/>
      <c r="P8" s="1"/>
      <c r="Q8" s="6"/>
      <c r="R8" s="15"/>
      <c r="S8" s="7"/>
      <c r="U8" s="23"/>
    </row>
    <row r="9" spans="1:22" x14ac:dyDescent="0.25">
      <c r="B9" t="s">
        <v>6</v>
      </c>
      <c r="E9" s="6">
        <v>2400</v>
      </c>
      <c r="F9" s="15">
        <v>1850</v>
      </c>
      <c r="G9" s="7">
        <f>E9-F9</f>
        <v>550</v>
      </c>
      <c r="H9" s="1"/>
      <c r="I9" s="6">
        <v>2400</v>
      </c>
      <c r="J9" s="15">
        <f>925+925+3485</f>
        <v>5335</v>
      </c>
      <c r="K9" s="8">
        <f>I9-J9</f>
        <v>-2935</v>
      </c>
      <c r="L9" s="1"/>
      <c r="M9" s="6">
        <v>2400</v>
      </c>
      <c r="N9" s="15">
        <f>720+680+964+993+255+170+255+1600</f>
        <v>5637</v>
      </c>
      <c r="O9" s="8">
        <f>M9-N9</f>
        <v>-3237</v>
      </c>
      <c r="P9" s="1"/>
      <c r="Q9" s="6">
        <v>2400</v>
      </c>
      <c r="R9" s="15">
        <f>5920</f>
        <v>5920</v>
      </c>
      <c r="S9" s="8">
        <f>Q9-R9</f>
        <v>-3520</v>
      </c>
      <c r="U9" s="26">
        <f>R9+1600</f>
        <v>7520</v>
      </c>
      <c r="V9" s="2"/>
    </row>
    <row r="10" spans="1:22" x14ac:dyDescent="0.25">
      <c r="B10" t="s">
        <v>16</v>
      </c>
      <c r="E10" s="6">
        <v>3600</v>
      </c>
      <c r="F10" s="15">
        <v>46.75</v>
      </c>
      <c r="G10" s="7">
        <f t="shared" ref="G10:G19" si="0">E10-F10</f>
        <v>3553.25</v>
      </c>
      <c r="H10" s="1"/>
      <c r="I10" s="6">
        <v>3600</v>
      </c>
      <c r="J10" s="15">
        <v>1835.16</v>
      </c>
      <c r="K10" s="7">
        <f t="shared" ref="K10:K19" si="1">I10-J10</f>
        <v>1764.84</v>
      </c>
      <c r="L10" s="1"/>
      <c r="M10" s="6">
        <v>3600</v>
      </c>
      <c r="N10" s="15">
        <v>4000.32</v>
      </c>
      <c r="O10" s="8">
        <f t="shared" ref="O10:O19" si="2">M10-N10</f>
        <v>-400.32000000000016</v>
      </c>
      <c r="P10" s="1"/>
      <c r="Q10" s="6">
        <v>3600</v>
      </c>
      <c r="R10" s="15">
        <v>2416.3200000000002</v>
      </c>
      <c r="S10" s="7">
        <f t="shared" ref="S10:S19" si="3">Q10-R10</f>
        <v>1183.6799999999998</v>
      </c>
      <c r="U10" s="26">
        <f>Q10</f>
        <v>3600</v>
      </c>
      <c r="V10" s="2" t="s">
        <v>26</v>
      </c>
    </row>
    <row r="11" spans="1:22" x14ac:dyDescent="0.25">
      <c r="B11" t="s">
        <v>11</v>
      </c>
      <c r="E11" s="6">
        <v>0</v>
      </c>
      <c r="F11" s="15"/>
      <c r="G11" s="7">
        <f t="shared" si="0"/>
        <v>0</v>
      </c>
      <c r="H11" s="1"/>
      <c r="I11" s="6">
        <v>0</v>
      </c>
      <c r="J11" s="15"/>
      <c r="K11" s="7">
        <f t="shared" si="1"/>
        <v>0</v>
      </c>
      <c r="L11" s="1"/>
      <c r="M11" s="6">
        <v>0</v>
      </c>
      <c r="N11" s="15"/>
      <c r="O11" s="7">
        <f t="shared" si="2"/>
        <v>0</v>
      </c>
      <c r="P11" s="1"/>
      <c r="Q11" s="6">
        <v>0</v>
      </c>
      <c r="R11" s="15"/>
      <c r="S11" s="7">
        <f t="shared" si="3"/>
        <v>0</v>
      </c>
      <c r="U11" s="26"/>
      <c r="V11" s="2"/>
    </row>
    <row r="12" spans="1:22" x14ac:dyDescent="0.25">
      <c r="B12" t="s">
        <v>29</v>
      </c>
      <c r="E12" s="6">
        <v>3000</v>
      </c>
      <c r="F12" s="15">
        <v>3431.67</v>
      </c>
      <c r="G12" s="7">
        <f t="shared" si="0"/>
        <v>-431.67000000000007</v>
      </c>
      <c r="H12" s="1"/>
      <c r="I12" s="6">
        <v>3000</v>
      </c>
      <c r="J12" s="15">
        <f>5825-925-925</f>
        <v>3975</v>
      </c>
      <c r="K12" s="8">
        <f t="shared" si="1"/>
        <v>-975</v>
      </c>
      <c r="L12" s="1"/>
      <c r="M12" s="6">
        <v>3000</v>
      </c>
      <c r="N12" s="15">
        <f>7917-720-680-964-993-255-170-255</f>
        <v>3880</v>
      </c>
      <c r="O12" s="8">
        <f t="shared" si="2"/>
        <v>-880</v>
      </c>
      <c r="P12" s="1"/>
      <c r="Q12" s="6">
        <v>3000</v>
      </c>
      <c r="R12" s="15">
        <v>2804.4</v>
      </c>
      <c r="S12" s="7">
        <f t="shared" si="3"/>
        <v>195.59999999999991</v>
      </c>
      <c r="U12" s="26">
        <v>4215</v>
      </c>
      <c r="V12" s="2" t="s">
        <v>27</v>
      </c>
    </row>
    <row r="13" spans="1:22" x14ac:dyDescent="0.25">
      <c r="B13" t="s">
        <v>7</v>
      </c>
      <c r="E13" s="6">
        <v>300</v>
      </c>
      <c r="F13" s="15">
        <v>329.81</v>
      </c>
      <c r="G13" s="7">
        <f t="shared" si="0"/>
        <v>-29.810000000000002</v>
      </c>
      <c r="H13" s="1"/>
      <c r="I13" s="6">
        <v>300</v>
      </c>
      <c r="J13" s="15">
        <v>550.65</v>
      </c>
      <c r="K13" s="8">
        <f t="shared" si="1"/>
        <v>-250.64999999999998</v>
      </c>
      <c r="L13" s="1"/>
      <c r="M13" s="6">
        <v>300</v>
      </c>
      <c r="N13" s="15">
        <v>638.57000000000005</v>
      </c>
      <c r="O13" s="8">
        <f t="shared" si="2"/>
        <v>-338.57000000000005</v>
      </c>
      <c r="P13" s="1"/>
      <c r="Q13" s="6">
        <v>300</v>
      </c>
      <c r="R13" s="15">
        <f>303.96+96</f>
        <v>399.96</v>
      </c>
      <c r="S13" s="8">
        <f t="shared" si="3"/>
        <v>-99.95999999999998</v>
      </c>
      <c r="T13" s="2"/>
      <c r="U13" s="26">
        <v>550</v>
      </c>
      <c r="V13" s="2" t="s">
        <v>28</v>
      </c>
    </row>
    <row r="14" spans="1:22" x14ac:dyDescent="0.25">
      <c r="B14" t="s">
        <v>17</v>
      </c>
      <c r="E14" s="6">
        <v>100</v>
      </c>
      <c r="F14" s="15">
        <f>27.95+20</f>
        <v>47.95</v>
      </c>
      <c r="G14" s="7">
        <f t="shared" si="0"/>
        <v>52.05</v>
      </c>
      <c r="H14" s="1"/>
      <c r="I14" s="6">
        <v>100</v>
      </c>
      <c r="J14" s="15">
        <f>39.95+20</f>
        <v>59.95</v>
      </c>
      <c r="K14" s="7">
        <f t="shared" si="1"/>
        <v>40.049999999999997</v>
      </c>
      <c r="L14" s="1"/>
      <c r="M14" s="6">
        <v>100</v>
      </c>
      <c r="N14" s="15">
        <v>0</v>
      </c>
      <c r="O14" s="7">
        <f t="shared" si="2"/>
        <v>100</v>
      </c>
      <c r="P14" s="1"/>
      <c r="Q14" s="6">
        <v>100</v>
      </c>
      <c r="R14" s="15">
        <f>20</f>
        <v>20</v>
      </c>
      <c r="S14" s="7">
        <f t="shared" si="3"/>
        <v>80</v>
      </c>
      <c r="T14" s="2"/>
      <c r="U14" s="26">
        <v>50</v>
      </c>
      <c r="V14" s="2" t="s">
        <v>28</v>
      </c>
    </row>
    <row r="15" spans="1:22" x14ac:dyDescent="0.25">
      <c r="B15" t="s">
        <v>12</v>
      </c>
      <c r="E15" s="6">
        <v>600</v>
      </c>
      <c r="F15" s="15"/>
      <c r="G15" s="7">
        <f t="shared" si="0"/>
        <v>600</v>
      </c>
      <c r="H15" s="1"/>
      <c r="I15" s="6">
        <v>600</v>
      </c>
      <c r="J15" s="15"/>
      <c r="K15" s="7">
        <f t="shared" si="1"/>
        <v>600</v>
      </c>
      <c r="L15" s="1"/>
      <c r="M15" s="6">
        <v>600</v>
      </c>
      <c r="N15" s="15"/>
      <c r="O15" s="7">
        <f t="shared" si="2"/>
        <v>600</v>
      </c>
      <c r="P15" s="1"/>
      <c r="Q15" s="6">
        <v>600</v>
      </c>
      <c r="R15" s="15"/>
      <c r="S15" s="7">
        <f t="shared" si="3"/>
        <v>600</v>
      </c>
      <c r="U15" s="26"/>
      <c r="V15" s="2"/>
    </row>
    <row r="16" spans="1:22" x14ac:dyDescent="0.25">
      <c r="B16" t="s">
        <v>9</v>
      </c>
      <c r="E16" s="6">
        <v>250</v>
      </c>
      <c r="F16" s="15">
        <v>0</v>
      </c>
      <c r="G16" s="7">
        <f t="shared" si="0"/>
        <v>250</v>
      </c>
      <c r="H16" s="1"/>
      <c r="I16" s="6">
        <v>250</v>
      </c>
      <c r="J16" s="15">
        <v>0</v>
      </c>
      <c r="K16" s="7">
        <f t="shared" si="1"/>
        <v>250</v>
      </c>
      <c r="L16" s="1"/>
      <c r="M16" s="6">
        <v>250</v>
      </c>
      <c r="N16" s="15">
        <v>0</v>
      </c>
      <c r="O16" s="7">
        <f t="shared" si="2"/>
        <v>250</v>
      </c>
      <c r="P16" s="1"/>
      <c r="Q16" s="6">
        <v>250</v>
      </c>
      <c r="R16" s="15"/>
      <c r="S16" s="7">
        <f t="shared" si="3"/>
        <v>250</v>
      </c>
      <c r="U16" s="26"/>
      <c r="V16" s="2"/>
    </row>
    <row r="17" spans="2:22" x14ac:dyDescent="0.25">
      <c r="B17" t="s">
        <v>14</v>
      </c>
      <c r="E17" s="6">
        <v>100</v>
      </c>
      <c r="F17" s="15"/>
      <c r="G17" s="7">
        <f t="shared" si="0"/>
        <v>100</v>
      </c>
      <c r="H17" s="1"/>
      <c r="I17" s="6">
        <v>100</v>
      </c>
      <c r="J17" s="15"/>
      <c r="K17" s="7">
        <f t="shared" si="1"/>
        <v>100</v>
      </c>
      <c r="L17" s="1"/>
      <c r="M17" s="6">
        <v>100</v>
      </c>
      <c r="N17" s="15"/>
      <c r="O17" s="7">
        <f t="shared" si="2"/>
        <v>100</v>
      </c>
      <c r="P17" s="1"/>
      <c r="Q17" s="6">
        <v>100</v>
      </c>
      <c r="R17" s="15"/>
      <c r="S17" s="7">
        <f t="shared" si="3"/>
        <v>100</v>
      </c>
      <c r="U17" s="26"/>
      <c r="V17" s="2"/>
    </row>
    <row r="18" spans="2:22" x14ac:dyDescent="0.25">
      <c r="B18" t="s">
        <v>5</v>
      </c>
      <c r="E18" s="6">
        <v>750</v>
      </c>
      <c r="F18" s="15">
        <v>311</v>
      </c>
      <c r="G18" s="7">
        <f t="shared" si="0"/>
        <v>439</v>
      </c>
      <c r="H18" s="1"/>
      <c r="I18" s="6">
        <v>750</v>
      </c>
      <c r="J18" s="15">
        <v>595</v>
      </c>
      <c r="K18" s="7">
        <f t="shared" si="1"/>
        <v>155</v>
      </c>
      <c r="L18" s="1"/>
      <c r="M18" s="6">
        <v>750</v>
      </c>
      <c r="N18" s="15">
        <v>596</v>
      </c>
      <c r="O18" s="7">
        <f t="shared" si="2"/>
        <v>154</v>
      </c>
      <c r="P18" s="1"/>
      <c r="Q18" s="6">
        <v>750</v>
      </c>
      <c r="R18" s="15">
        <v>589</v>
      </c>
      <c r="S18" s="7">
        <f t="shared" si="3"/>
        <v>161</v>
      </c>
      <c r="U18" s="26">
        <v>600</v>
      </c>
      <c r="V18" s="2" t="s">
        <v>28</v>
      </c>
    </row>
    <row r="19" spans="2:22" x14ac:dyDescent="0.25">
      <c r="B19" t="s">
        <v>13</v>
      </c>
      <c r="E19" s="6">
        <v>1400</v>
      </c>
      <c r="F19" s="15"/>
      <c r="G19" s="7">
        <f t="shared" si="0"/>
        <v>1400</v>
      </c>
      <c r="H19" s="1"/>
      <c r="I19" s="6">
        <v>1400</v>
      </c>
      <c r="J19" s="15"/>
      <c r="K19" s="7">
        <f t="shared" si="1"/>
        <v>1400</v>
      </c>
      <c r="L19" s="1"/>
      <c r="M19" s="6">
        <v>1400</v>
      </c>
      <c r="N19" s="15"/>
      <c r="O19" s="7">
        <f t="shared" si="2"/>
        <v>1400</v>
      </c>
      <c r="P19" s="1"/>
      <c r="Q19" s="6">
        <v>1400</v>
      </c>
      <c r="R19" s="15"/>
      <c r="S19" s="7">
        <f t="shared" si="3"/>
        <v>1400</v>
      </c>
      <c r="U19" s="26"/>
      <c r="V19" s="2"/>
    </row>
    <row r="20" spans="2:22" x14ac:dyDescent="0.25">
      <c r="E20" s="6"/>
      <c r="F20" s="15"/>
      <c r="G20" s="7"/>
      <c r="H20" s="1"/>
      <c r="I20" s="6"/>
      <c r="J20" s="15"/>
      <c r="K20" s="7"/>
      <c r="L20" s="1"/>
      <c r="M20" s="6"/>
      <c r="N20" s="15"/>
      <c r="O20" s="7"/>
      <c r="P20" s="1"/>
      <c r="Q20" s="6"/>
      <c r="R20" s="15"/>
      <c r="S20" s="7"/>
      <c r="U20" s="26"/>
    </row>
    <row r="21" spans="2:22" ht="15.75" thickBot="1" x14ac:dyDescent="0.3">
      <c r="B21" t="s">
        <v>2</v>
      </c>
      <c r="E21" s="9">
        <f>SUM(E9:E19)</f>
        <v>12500</v>
      </c>
      <c r="F21" s="16">
        <f>SUM(F9:F19)</f>
        <v>6017.18</v>
      </c>
      <c r="G21" s="10">
        <f>SUM(G9:G19)</f>
        <v>6482.82</v>
      </c>
      <c r="H21" s="1"/>
      <c r="I21" s="9">
        <f>SUM(I9:I19)</f>
        <v>12500</v>
      </c>
      <c r="J21" s="16">
        <f>SUM(J9:J19)</f>
        <v>12350.76</v>
      </c>
      <c r="K21" s="10">
        <f>SUM(K9:K19)</f>
        <v>149.24000000000024</v>
      </c>
      <c r="L21" s="1"/>
      <c r="M21" s="9">
        <f>SUM(M9:M19)</f>
        <v>12500</v>
      </c>
      <c r="N21" s="16">
        <f>SUM(N9:N19)</f>
        <v>14751.89</v>
      </c>
      <c r="O21" s="10">
        <f>SUM(O9:O19)</f>
        <v>-2251.8899999999994</v>
      </c>
      <c r="P21" s="1"/>
      <c r="Q21" s="9">
        <f>SUM(Q9:Q19)</f>
        <v>12500</v>
      </c>
      <c r="R21" s="16">
        <f>SUM(R9:R19)</f>
        <v>12149.679999999998</v>
      </c>
      <c r="S21" s="10">
        <f>SUM(S9:S19)</f>
        <v>350.31999999999971</v>
      </c>
      <c r="U21" s="27">
        <f>SUM(U9:U19)</f>
        <v>16535</v>
      </c>
      <c r="V21" s="2"/>
    </row>
    <row r="22" spans="2:22" hidden="1" x14ac:dyDescent="0.25">
      <c r="F22" s="1"/>
      <c r="G22" s="1"/>
      <c r="H22" s="1"/>
      <c r="J22" s="1"/>
      <c r="K22" s="1"/>
      <c r="L22" s="1"/>
      <c r="N22" s="1"/>
      <c r="O22" s="1"/>
      <c r="P22" s="1"/>
      <c r="Q22" s="1"/>
      <c r="R22" s="1"/>
    </row>
    <row r="23" spans="2:22" hidden="1" x14ac:dyDescent="0.25">
      <c r="B23" t="s">
        <v>8</v>
      </c>
      <c r="F23" s="1">
        <f>F5-F21</f>
        <v>2373.84</v>
      </c>
      <c r="G23" s="1"/>
      <c r="H23" s="1"/>
      <c r="J23" s="1">
        <f>J5-J21</f>
        <v>1710.7899999999991</v>
      </c>
      <c r="K23" s="1"/>
      <c r="L23" s="1"/>
      <c r="N23" s="1">
        <f>N5-N21</f>
        <v>-2701.8899999999994</v>
      </c>
      <c r="O23" s="1"/>
      <c r="P23" s="1"/>
      <c r="Q23" s="1"/>
      <c r="R23" s="1">
        <f>R5-R21</f>
        <v>0.32000000000152795</v>
      </c>
      <c r="U23" s="1">
        <f>U5-U21</f>
        <v>-4385</v>
      </c>
    </row>
    <row r="24" spans="2:22" x14ac:dyDescent="0.25">
      <c r="F24" s="1"/>
      <c r="G24" s="1"/>
      <c r="H24" s="1"/>
      <c r="J24" s="1"/>
      <c r="K24" s="1"/>
      <c r="L24" s="1"/>
      <c r="N24" s="1"/>
      <c r="O24" s="1"/>
      <c r="P24" s="1"/>
      <c r="Q24" s="1"/>
      <c r="R24" s="1"/>
    </row>
    <row r="25" spans="2:22" x14ac:dyDescent="0.25">
      <c r="B25" t="s">
        <v>15</v>
      </c>
      <c r="F25" s="17">
        <f>F23</f>
        <v>2373.84</v>
      </c>
      <c r="G25" s="1"/>
      <c r="H25" s="1"/>
      <c r="J25" s="17">
        <f>F25+J23</f>
        <v>4084.6299999999992</v>
      </c>
      <c r="K25" s="1"/>
      <c r="L25" s="1"/>
      <c r="N25" s="17">
        <f>J25+N23</f>
        <v>1382.7399999999998</v>
      </c>
      <c r="O25" s="1"/>
      <c r="P25" s="1"/>
      <c r="Q25" s="1"/>
      <c r="R25" s="17">
        <f>N25+R23</f>
        <v>1383.0600000000013</v>
      </c>
      <c r="U25" s="2">
        <f>R25+U23</f>
        <v>-3001.9399999999987</v>
      </c>
      <c r="V25" t="s">
        <v>25</v>
      </c>
    </row>
    <row r="26" spans="2:22" x14ac:dyDescent="0.25">
      <c r="U26" s="2">
        <f>U25/24</f>
        <v>-125.08083333333327</v>
      </c>
      <c r="V26" t="s">
        <v>23</v>
      </c>
    </row>
    <row r="27" spans="2:22" x14ac:dyDescent="0.25">
      <c r="N27" s="2">
        <f>N21+1400</f>
        <v>16151.89</v>
      </c>
    </row>
    <row r="28" spans="2:22" x14ac:dyDescent="0.25">
      <c r="N28" s="2"/>
      <c r="U28" s="2">
        <v>675</v>
      </c>
      <c r="V28" t="s">
        <v>24</v>
      </c>
    </row>
  </sheetData>
  <mergeCells count="4">
    <mergeCell ref="E2:G2"/>
    <mergeCell ref="I2:K2"/>
    <mergeCell ref="M2:O2"/>
    <mergeCell ref="Q2:S2"/>
  </mergeCells>
  <pageMargins left="0.7" right="0.7" top="0.75" bottom="0.75" header="0.3" footer="0.3"/>
  <pageSetup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0" ma:contentTypeDescription="Create a new document." ma:contentTypeScope="" ma:versionID="d7b606a008edec20db4739c08188d360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1f67b74205439298ebc52a80b8182e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4A6910-5D97-444B-8EDA-2906BF70ED13}"/>
</file>

<file path=customXml/itemProps2.xml><?xml version="1.0" encoding="utf-8"?>
<ds:datastoreItem xmlns:ds="http://schemas.openxmlformats.org/officeDocument/2006/customXml" ds:itemID="{B185B642-0E89-40A9-950F-2741A7DE3563}"/>
</file>

<file path=customXml/itemProps3.xml><?xml version="1.0" encoding="utf-8"?>
<ds:datastoreItem xmlns:ds="http://schemas.openxmlformats.org/officeDocument/2006/customXml" ds:itemID="{EBB51A8C-B164-45F3-9949-38CE1D9D93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Klaasen</dc:creator>
  <cp:lastModifiedBy>Jeff Klaasen</cp:lastModifiedBy>
  <cp:lastPrinted>2018-08-28T13:55:27Z</cp:lastPrinted>
  <dcterms:created xsi:type="dcterms:W3CDTF">2018-08-22T16:03:17Z</dcterms:created>
  <dcterms:modified xsi:type="dcterms:W3CDTF">2018-08-28T14:24:34Z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