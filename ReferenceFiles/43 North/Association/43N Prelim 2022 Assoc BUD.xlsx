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43 North/Association/"/>
    </mc:Choice>
  </mc:AlternateContent>
  <xr:revisionPtr revIDLastSave="2" documentId="8_{43A0AC9C-7E69-423C-A32A-9924CD4ADC94}" xr6:coauthVersionLast="47" xr6:coauthVersionMax="47" xr10:uidLastSave="{796EB1FB-F059-45A2-9080-129267670C46}"/>
  <bookViews>
    <workbookView xWindow="-108" yWindow="-108" windowWidth="23256" windowHeight="12576" xr2:uid="{882EB6F1-13BC-4CBF-B681-5F109BFA757F}"/>
  </bookViews>
  <sheets>
    <sheet name="43 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F19" i="1"/>
  <c r="F9" i="1"/>
  <c r="F11" i="1"/>
  <c r="D8" i="1"/>
  <c r="D9" i="1"/>
  <c r="D7" i="1" l="1"/>
  <c r="D3" i="1"/>
  <c r="F3" i="1" s="1"/>
  <c r="F14" i="1" s="1"/>
  <c r="D4" i="1"/>
  <c r="D5" i="1"/>
  <c r="D19" i="1"/>
  <c r="C10" i="1"/>
  <c r="C9" i="1"/>
  <c r="C8" i="1"/>
  <c r="C7" i="1"/>
  <c r="C6" i="1"/>
  <c r="C5" i="1"/>
  <c r="C4" i="1"/>
  <c r="C3" i="1"/>
  <c r="B14" i="1"/>
  <c r="D14" i="1" l="1"/>
  <c r="C14" i="1"/>
</calcChain>
</file>

<file path=xl/sharedStrings.xml><?xml version="1.0" encoding="utf-8"?>
<sst xmlns="http://schemas.openxmlformats.org/spreadsheetml/2006/main" count="29" uniqueCount="29">
  <si>
    <t>EXPENSES</t>
  </si>
  <si>
    <t>Jan-Nov</t>
  </si>
  <si>
    <t>Monthly</t>
  </si>
  <si>
    <t>Annual</t>
  </si>
  <si>
    <t>2022 Projected</t>
  </si>
  <si>
    <t>Rate</t>
  </si>
  <si>
    <t>Projection</t>
  </si>
  <si>
    <t>Budget</t>
  </si>
  <si>
    <t>Business Lic &amp; Permits</t>
  </si>
  <si>
    <t>Computer &amp; Tech Exp</t>
  </si>
  <si>
    <t>Insurance</t>
  </si>
  <si>
    <t>Landscaping</t>
  </si>
  <si>
    <t>Repairs &amp; Maint</t>
  </si>
  <si>
    <t>Snowplow/Salt</t>
  </si>
  <si>
    <t>Trash Pick Up</t>
  </si>
  <si>
    <t>Utilities</t>
  </si>
  <si>
    <t>Reserves</t>
  </si>
  <si>
    <t xml:space="preserve">Lots </t>
  </si>
  <si>
    <t>Annual Dues</t>
  </si>
  <si>
    <t>Total Revenue</t>
  </si>
  <si>
    <t>Irriagtion Water</t>
  </si>
  <si>
    <t>State of Michigan Association filing fee</t>
  </si>
  <si>
    <t>Quick Books License</t>
  </si>
  <si>
    <t>Association Liability Policy</t>
  </si>
  <si>
    <t>Preliminary Public Water Usage Projection</t>
  </si>
  <si>
    <t>New homes starting in second half of the year</t>
  </si>
  <si>
    <t>Phase 2 starting for the 2022/2023 season</t>
  </si>
  <si>
    <t>Front Entry Electric Usage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</si>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</sst>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4474-08F7-4197-B973-8CB4C133E2B0}">
  <dimension ref="A1:H21"/>
  <sheetViews>
    <sheetView tabSelected="1" workbookViewId="0">
      <selection activeCell="D22" sqref="D22"/>
    </sheetView>
  </sheetViews>
  <sheetFormatPr defaultRowHeight="14.4" x14ac:dyDescent="0.3"/>
  <cols>
    <col min="1" max="1" width="19.21875" customWidth="1"/>
    <col min="2" max="2" width="10.109375" hidden="1" customWidth="1"/>
    <col min="3" max="3" width="0" hidden="1" customWidth="1"/>
    <col min="4" max="4" width="10.88671875" bestFit="1" customWidth="1"/>
    <col min="5" max="5" width="3.6640625" customWidth="1"/>
    <col min="6" max="6" width="10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8" x14ac:dyDescent="0.3">
      <c r="C2" t="s">
        <v>5</v>
      </c>
      <c r="D2" t="s">
        <v>6</v>
      </c>
      <c r="F2" t="s">
        <v>7</v>
      </c>
    </row>
    <row r="3" spans="1:8" x14ac:dyDescent="0.3">
      <c r="A3" t="s">
        <v>8</v>
      </c>
      <c r="B3" s="1">
        <v>20</v>
      </c>
      <c r="C3" s="1">
        <f>B3/11</f>
        <v>1.8181818181818181</v>
      </c>
      <c r="D3" s="1">
        <f>B3</f>
        <v>20</v>
      </c>
      <c r="E3" s="1"/>
      <c r="F3" s="1">
        <f>D3</f>
        <v>20</v>
      </c>
      <c r="H3" t="s">
        <v>21</v>
      </c>
    </row>
    <row r="4" spans="1:8" x14ac:dyDescent="0.3">
      <c r="A4" t="s">
        <v>9</v>
      </c>
      <c r="B4" s="1">
        <v>299.98</v>
      </c>
      <c r="C4" s="1">
        <f t="shared" ref="C4:C10" si="0">B4/11</f>
        <v>27.270909090909093</v>
      </c>
      <c r="D4" s="1">
        <f>B4</f>
        <v>299.98</v>
      </c>
      <c r="E4" s="1"/>
      <c r="F4" s="1">
        <v>300</v>
      </c>
      <c r="H4" t="s">
        <v>22</v>
      </c>
    </row>
    <row r="5" spans="1:8" x14ac:dyDescent="0.3">
      <c r="A5" t="s">
        <v>10</v>
      </c>
      <c r="B5" s="1">
        <v>608</v>
      </c>
      <c r="C5" s="1">
        <f t="shared" si="0"/>
        <v>55.272727272727273</v>
      </c>
      <c r="D5" s="1">
        <f>B5</f>
        <v>608</v>
      </c>
      <c r="E5" s="1"/>
      <c r="F5" s="1">
        <v>625</v>
      </c>
      <c r="H5" t="s">
        <v>23</v>
      </c>
    </row>
    <row r="6" spans="1:8" x14ac:dyDescent="0.3">
      <c r="A6" t="s">
        <v>11</v>
      </c>
      <c r="B6" s="1">
        <v>5466.18</v>
      </c>
      <c r="C6" s="1">
        <f t="shared" si="0"/>
        <v>496.92545454545456</v>
      </c>
      <c r="D6" s="1">
        <v>5466.18</v>
      </c>
      <c r="E6" s="1"/>
      <c r="F6" s="1">
        <v>5500</v>
      </c>
    </row>
    <row r="7" spans="1:8" x14ac:dyDescent="0.3">
      <c r="A7" t="s">
        <v>12</v>
      </c>
      <c r="B7" s="1">
        <v>162</v>
      </c>
      <c r="C7" s="1">
        <f t="shared" si="0"/>
        <v>14.727272727272727</v>
      </c>
      <c r="D7" s="1">
        <f>B7</f>
        <v>162</v>
      </c>
      <c r="E7" s="1"/>
      <c r="F7" s="1">
        <v>200</v>
      </c>
    </row>
    <row r="8" spans="1:8" x14ac:dyDescent="0.3">
      <c r="A8" t="s">
        <v>13</v>
      </c>
      <c r="B8" s="1">
        <v>2375</v>
      </c>
      <c r="C8" s="1">
        <f t="shared" si="0"/>
        <v>215.90909090909091</v>
      </c>
      <c r="D8" s="1">
        <f>2545</f>
        <v>2545</v>
      </c>
      <c r="E8" s="1"/>
      <c r="F8" s="1">
        <v>4000</v>
      </c>
      <c r="H8" t="s">
        <v>26</v>
      </c>
    </row>
    <row r="9" spans="1:8" x14ac:dyDescent="0.3">
      <c r="A9" t="s">
        <v>14</v>
      </c>
      <c r="B9" s="1">
        <v>2376</v>
      </c>
      <c r="C9" s="1">
        <f t="shared" si="0"/>
        <v>216</v>
      </c>
      <c r="D9" s="1">
        <f>B9+832.32</f>
        <v>3208.32</v>
      </c>
      <c r="E9" s="1"/>
      <c r="F9" s="1">
        <f>(31*(35))+(24*(35*3))</f>
        <v>3605</v>
      </c>
      <c r="H9" t="s">
        <v>25</v>
      </c>
    </row>
    <row r="10" spans="1:8" x14ac:dyDescent="0.3">
      <c r="A10" t="s">
        <v>15</v>
      </c>
      <c r="B10" s="1">
        <v>553.41</v>
      </c>
      <c r="C10" s="1">
        <f t="shared" si="0"/>
        <v>50.309999999999995</v>
      </c>
      <c r="D10" s="1">
        <v>589.51</v>
      </c>
      <c r="E10" s="1"/>
      <c r="F10" s="1">
        <v>600</v>
      </c>
      <c r="H10" t="s">
        <v>27</v>
      </c>
    </row>
    <row r="11" spans="1:8" x14ac:dyDescent="0.3">
      <c r="A11" t="s">
        <v>20</v>
      </c>
      <c r="B11" s="1"/>
      <c r="C11" s="1"/>
      <c r="D11" s="1">
        <v>0</v>
      </c>
      <c r="E11" s="1"/>
      <c r="F11" s="1">
        <f>150*6</f>
        <v>900</v>
      </c>
      <c r="H11" t="s">
        <v>24</v>
      </c>
    </row>
    <row r="12" spans="1:8" x14ac:dyDescent="0.3">
      <c r="A12" t="s">
        <v>16</v>
      </c>
      <c r="B12" s="1"/>
      <c r="C12" s="1"/>
      <c r="D12" s="1"/>
      <c r="E12" s="1"/>
      <c r="F12" s="1">
        <v>1800</v>
      </c>
    </row>
    <row r="13" spans="1:8" x14ac:dyDescent="0.3">
      <c r="B13" s="1"/>
      <c r="F13" s="1"/>
    </row>
    <row r="14" spans="1:8" x14ac:dyDescent="0.3">
      <c r="A14" t="s">
        <v>28</v>
      </c>
      <c r="B14" s="1">
        <f>SUM(B3:B13)</f>
        <v>11860.57</v>
      </c>
      <c r="C14" s="1">
        <f t="shared" ref="C14:F14" si="1">SUM(C3:C13)</f>
        <v>1078.2336363636364</v>
      </c>
      <c r="D14" s="1">
        <f t="shared" si="1"/>
        <v>12898.99</v>
      </c>
      <c r="E14" s="1"/>
      <c r="F14" s="1">
        <f t="shared" si="1"/>
        <v>17550</v>
      </c>
    </row>
    <row r="16" spans="1:8" hidden="1" x14ac:dyDescent="0.3">
      <c r="A16" t="s">
        <v>17</v>
      </c>
      <c r="D16">
        <v>25</v>
      </c>
      <c r="F16">
        <v>33</v>
      </c>
    </row>
    <row r="17" spans="1:6" x14ac:dyDescent="0.3">
      <c r="A17" t="s">
        <v>18</v>
      </c>
      <c r="D17" s="1">
        <v>650</v>
      </c>
      <c r="F17" s="1">
        <v>650</v>
      </c>
    </row>
    <row r="18" spans="1:6" x14ac:dyDescent="0.3">
      <c r="D18" s="1"/>
    </row>
    <row r="19" spans="1:6" x14ac:dyDescent="0.3">
      <c r="A19" t="s">
        <v>19</v>
      </c>
      <c r="D19" s="1">
        <f>D16*D17</f>
        <v>16250</v>
      </c>
      <c r="F19" s="1">
        <f>(25*650)+(8*(650/4))</f>
        <v>17550</v>
      </c>
    </row>
    <row r="21" spans="1:6" x14ac:dyDescent="0.3">
      <c r="D21" s="1">
        <f>D19-D14</f>
        <v>3351.01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8" ma:contentTypeDescription="Create a new document." ma:contentTypeScope="" ma:versionID="e698b2eee3cba43362f554b2ac266e79">
  <xsd:schema xmlns:xsd="http://www.w3.org/2001/XMLSchema" xmlns:xs="http://www.w3.org/2001/XMLSchema" xmlns:p="http://schemas.microsoft.com/office/2006/metadata/properties" xmlns:ns2="3587d346-06af-42ae-85fc-924a52d5c0b5" xmlns:ns3="b479206e-175b-4ebe-9947-d22816e9318a" targetNamespace="http://schemas.microsoft.com/office/2006/metadata/properties" ma:root="true" ma:fieldsID="8218fb977ac918dcd9e734533da3cc97" ns2:_="" ns3:_="">
    <xsd:import namespace="3587d346-06af-42ae-85fc-924a52d5c0b5"/>
    <xsd:import namespace="b479206e-175b-4ebe-9947-d22816e93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f7b025f-094e-438f-9fef-964aaaa13f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206e-175b-4ebe-9947-d22816e931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ce1fb7-be54-44ed-a3ff-3adbd57c1492}" ma:internalName="TaxCatchAll" ma:showField="CatchAllData" ma:web="b479206e-175b-4ebe-9947-d22816e93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9206e-175b-4ebe-9947-d22816e9318a" xsi:nil="true"/>
    <lcf76f155ced4ddcb4097134ff3c332f xmlns="3587d346-06af-42ae-85fc-924a52d5c0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36EDA3-CFD1-497B-9013-C0A10259EFD2}"/>
</file>

<file path=customXml/itemProps2.xml><?xml version="1.0" encoding="utf-8"?>
<ds:datastoreItem xmlns:ds="http://schemas.openxmlformats.org/officeDocument/2006/customXml" ds:itemID="{65CA4E7D-2641-4437-A0A8-ECBB108A53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34918-C8F1-42F2-8EC0-5F70E12271E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 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Renee Kousek</dc:creator>
  <cp:keywords/>
  <dc:description/>
  <cp:lastModifiedBy>Jeff Klaasen</cp:lastModifiedBy>
  <cp:revision/>
  <dcterms:created xsi:type="dcterms:W3CDTF">2021-12-06T16:28:27Z</dcterms:created>
  <dcterms:modified xsi:type="dcterms:W3CDTF">2021-12-20T14:42:51Z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