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Active Development Projects/43 North/Association/"/>
    </mc:Choice>
  </mc:AlternateContent>
  <xr:revisionPtr revIDLastSave="56" documentId="8_{7F5CDDF7-397E-4D83-ACFF-B4C787344F7C}" xr6:coauthVersionLast="47" xr6:coauthVersionMax="47" xr10:uidLastSave="{1845A3EC-5DCC-4E44-AF41-9B082784A64D}"/>
  <bookViews>
    <workbookView xWindow="-108" yWindow="-108" windowWidth="23256" windowHeight="12576" xr2:uid="{882EB6F1-13BC-4CBF-B681-5F109BFA757F}"/>
  </bookViews>
  <sheets>
    <sheet name="43 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9" i="1"/>
  <c r="C10" i="1"/>
  <c r="C11" i="1"/>
  <c r="C4" i="1"/>
  <c r="B19" i="1"/>
  <c r="B11" i="1"/>
  <c r="B9" i="1"/>
  <c r="E3" i="1" l="1"/>
  <c r="E14" i="1" s="1"/>
  <c r="C14" i="1" l="1"/>
  <c r="B14" i="1"/>
</calcChain>
</file>

<file path=xl/sharedStrings.xml><?xml version="1.0" encoding="utf-8"?>
<sst xmlns="http://schemas.openxmlformats.org/spreadsheetml/2006/main" count="27" uniqueCount="26">
  <si>
    <t>EXPENSES</t>
  </si>
  <si>
    <t>Budget</t>
  </si>
  <si>
    <t>Business Lic &amp; Permits</t>
  </si>
  <si>
    <t>Computer &amp; Tech Exp</t>
  </si>
  <si>
    <t>Insurance</t>
  </si>
  <si>
    <t>Landscaping</t>
  </si>
  <si>
    <t>Repairs &amp; Maint</t>
  </si>
  <si>
    <t>Snowplow/Salt</t>
  </si>
  <si>
    <t>Trash Pick Up</t>
  </si>
  <si>
    <t>Utilities</t>
  </si>
  <si>
    <t>Reserves</t>
  </si>
  <si>
    <t xml:space="preserve">Lots </t>
  </si>
  <si>
    <t>Annual Dues</t>
  </si>
  <si>
    <t>Total Revenue</t>
  </si>
  <si>
    <t>Irriagtion Water</t>
  </si>
  <si>
    <t>State of Michigan Association filing fee</t>
  </si>
  <si>
    <t>Quick Books License</t>
  </si>
  <si>
    <t>Association Liability Policy</t>
  </si>
  <si>
    <t>Front Entry Electric Usage</t>
  </si>
  <si>
    <t>Totals</t>
  </si>
  <si>
    <t>2023 Projected</t>
  </si>
  <si>
    <t>Actual</t>
  </si>
  <si>
    <t>Public Water Usage Projection</t>
  </si>
  <si>
    <t>Phase 1 &amp; 2</t>
  </si>
  <si>
    <t>New homes continuing in 2023</t>
  </si>
  <si>
    <t>Budget based on 37 lots sold and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</si>
</sst>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4474-08F7-4197-B973-8CB4C133E2B0}">
  <sheetPr>
    <pageSetUpPr fitToPage="1"/>
  </sheetPr>
  <dimension ref="A1:G21"/>
  <sheetViews>
    <sheetView tabSelected="1" workbookViewId="0">
      <selection activeCell="G17" sqref="G17"/>
    </sheetView>
  </sheetViews>
  <sheetFormatPr defaultRowHeight="14.4" x14ac:dyDescent="0.3"/>
  <cols>
    <col min="1" max="1" width="19.21875" customWidth="1"/>
    <col min="2" max="3" width="10.88671875" bestFit="1" customWidth="1"/>
    <col min="4" max="4" width="3.6640625" customWidth="1"/>
    <col min="5" max="5" width="10.109375" bestFit="1" customWidth="1"/>
  </cols>
  <sheetData>
    <row r="1" spans="1:7" x14ac:dyDescent="0.3">
      <c r="A1" t="s">
        <v>0</v>
      </c>
      <c r="B1" s="2">
        <v>2022</v>
      </c>
      <c r="C1" s="2">
        <v>2022</v>
      </c>
      <c r="D1" s="2"/>
      <c r="E1" s="2" t="s">
        <v>20</v>
      </c>
    </row>
    <row r="2" spans="1:7" x14ac:dyDescent="0.3">
      <c r="B2" s="2" t="s">
        <v>1</v>
      </c>
      <c r="C2" s="2" t="s">
        <v>21</v>
      </c>
      <c r="D2" s="2"/>
      <c r="E2" s="2" t="s">
        <v>1</v>
      </c>
    </row>
    <row r="3" spans="1:7" x14ac:dyDescent="0.3">
      <c r="A3" t="s">
        <v>2</v>
      </c>
      <c r="B3" s="1">
        <v>20</v>
      </c>
      <c r="C3" s="1">
        <v>20</v>
      </c>
      <c r="D3" s="1"/>
      <c r="E3" s="1">
        <f>B3</f>
        <v>20</v>
      </c>
      <c r="G3" t="s">
        <v>15</v>
      </c>
    </row>
    <row r="4" spans="1:7" x14ac:dyDescent="0.3">
      <c r="A4" t="s">
        <v>3</v>
      </c>
      <c r="B4" s="1">
        <v>300</v>
      </c>
      <c r="C4" s="1">
        <f>354.31+16</f>
        <v>370.31</v>
      </c>
      <c r="D4" s="1"/>
      <c r="E4" s="1">
        <v>400</v>
      </c>
      <c r="G4" t="s">
        <v>16</v>
      </c>
    </row>
    <row r="5" spans="1:7" x14ac:dyDescent="0.3">
      <c r="A5" t="s">
        <v>4</v>
      </c>
      <c r="B5" s="1">
        <v>625</v>
      </c>
      <c r="C5" s="1">
        <v>620</v>
      </c>
      <c r="D5" s="1"/>
      <c r="E5" s="1">
        <v>625</v>
      </c>
      <c r="G5" t="s">
        <v>17</v>
      </c>
    </row>
    <row r="6" spans="1:7" x14ac:dyDescent="0.3">
      <c r="A6" t="s">
        <v>5</v>
      </c>
      <c r="B6" s="1">
        <v>5500</v>
      </c>
      <c r="C6" s="1">
        <v>3205</v>
      </c>
      <c r="D6" s="1"/>
      <c r="E6" s="1">
        <v>3500</v>
      </c>
    </row>
    <row r="7" spans="1:7" x14ac:dyDescent="0.3">
      <c r="A7" t="s">
        <v>6</v>
      </c>
      <c r="B7" s="1">
        <v>200</v>
      </c>
      <c r="C7" s="1">
        <v>0</v>
      </c>
      <c r="D7" s="1"/>
      <c r="E7" s="1">
        <v>200</v>
      </c>
    </row>
    <row r="8" spans="1:7" x14ac:dyDescent="0.3">
      <c r="A8" t="s">
        <v>7</v>
      </c>
      <c r="B8" s="1">
        <v>4000</v>
      </c>
      <c r="C8" s="1">
        <v>7420.1</v>
      </c>
      <c r="D8" s="1"/>
      <c r="E8" s="1">
        <v>7500</v>
      </c>
      <c r="G8" t="s">
        <v>23</v>
      </c>
    </row>
    <row r="9" spans="1:7" x14ac:dyDescent="0.3">
      <c r="A9" t="s">
        <v>8</v>
      </c>
      <c r="B9" s="1">
        <f>(31*(35))+(24*(35*3))</f>
        <v>3605</v>
      </c>
      <c r="C9" s="1">
        <v>4536</v>
      </c>
      <c r="D9" s="1"/>
      <c r="E9" s="1">
        <f>1500*4</f>
        <v>6000</v>
      </c>
      <c r="G9" t="s">
        <v>24</v>
      </c>
    </row>
    <row r="10" spans="1:7" x14ac:dyDescent="0.3">
      <c r="A10" t="s">
        <v>9</v>
      </c>
      <c r="B10" s="1">
        <v>600</v>
      </c>
      <c r="C10" s="1">
        <f>1006.39-C11</f>
        <v>433.29999999999995</v>
      </c>
      <c r="D10" s="1"/>
      <c r="E10" s="1">
        <v>600</v>
      </c>
      <c r="G10" t="s">
        <v>18</v>
      </c>
    </row>
    <row r="11" spans="1:7" x14ac:dyDescent="0.3">
      <c r="A11" t="s">
        <v>14</v>
      </c>
      <c r="B11" s="1">
        <f>150*6</f>
        <v>900</v>
      </c>
      <c r="C11" s="1">
        <f>5.27+281.97+285.85</f>
        <v>573.09</v>
      </c>
      <c r="D11" s="1"/>
      <c r="E11" s="1">
        <v>750</v>
      </c>
      <c r="G11" t="s">
        <v>22</v>
      </c>
    </row>
    <row r="12" spans="1:7" x14ac:dyDescent="0.3">
      <c r="A12" t="s">
        <v>10</v>
      </c>
      <c r="B12" s="1">
        <v>1800</v>
      </c>
      <c r="C12" s="1"/>
      <c r="D12" s="1"/>
      <c r="E12" s="1">
        <v>4455</v>
      </c>
    </row>
    <row r="13" spans="1:7" x14ac:dyDescent="0.3">
      <c r="E13" s="1"/>
    </row>
    <row r="14" spans="1:7" x14ac:dyDescent="0.3">
      <c r="A14" t="s">
        <v>19</v>
      </c>
      <c r="B14" s="1">
        <f t="shared" ref="B14:E14" si="0">SUM(B3:B13)</f>
        <v>17550</v>
      </c>
      <c r="C14" s="1">
        <f t="shared" ref="C14" si="1">SUM(C3:C13)</f>
        <v>17177.8</v>
      </c>
      <c r="D14" s="1"/>
      <c r="E14" s="1">
        <f t="shared" si="0"/>
        <v>24050</v>
      </c>
    </row>
    <row r="16" spans="1:7" x14ac:dyDescent="0.3">
      <c r="A16" t="s">
        <v>11</v>
      </c>
      <c r="B16">
        <v>33</v>
      </c>
      <c r="C16">
        <v>33</v>
      </c>
      <c r="E16">
        <v>37</v>
      </c>
      <c r="G16" t="s">
        <v>25</v>
      </c>
    </row>
    <row r="17" spans="1:5" x14ac:dyDescent="0.3">
      <c r="A17" t="s">
        <v>12</v>
      </c>
      <c r="B17" s="1">
        <v>650</v>
      </c>
      <c r="C17" s="1">
        <v>650</v>
      </c>
      <c r="E17" s="1">
        <v>650</v>
      </c>
    </row>
    <row r="18" spans="1:5" x14ac:dyDescent="0.3">
      <c r="B18" s="1"/>
      <c r="C18" s="1"/>
    </row>
    <row r="19" spans="1:5" x14ac:dyDescent="0.3">
      <c r="A19" t="s">
        <v>13</v>
      </c>
      <c r="B19" s="1">
        <f>(25*650)+(8*(650/4))</f>
        <v>17550</v>
      </c>
      <c r="C19" s="1">
        <v>18651.240000000002</v>
      </c>
      <c r="E19" s="1">
        <f>E16*E17</f>
        <v>24050</v>
      </c>
    </row>
    <row r="21" spans="1:5" x14ac:dyDescent="0.3">
      <c r="B21" s="1"/>
      <c r="C21" s="1"/>
    </row>
  </sheetData>
  <pageMargins left="0.7" right="0.7" top="0.75" bottom="0.75" header="0.3" footer="0.3"/>
  <pageSetup scale="9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DC28B-A4DA-43B7-AEDC-448E5EEB6C56}"/>
</file>

<file path=customXml/itemProps2.xml><?xml version="1.0" encoding="utf-8"?>
<ds:datastoreItem xmlns:ds="http://schemas.openxmlformats.org/officeDocument/2006/customXml" ds:itemID="{65CA4E7D-2641-4437-A0A8-ECBB108A5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34918-C8F1-42F2-8EC0-5F70E12271E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 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Renee Kousek</dc:creator>
  <cp:keywords/>
  <dc:description/>
  <cp:lastModifiedBy>Jeff Klaasen</cp:lastModifiedBy>
  <cp:revision/>
  <cp:lastPrinted>2023-01-05T13:13:30Z</cp:lastPrinted>
  <dcterms:created xsi:type="dcterms:W3CDTF">2021-12-06T16:28:27Z</dcterms:created>
  <dcterms:modified xsi:type="dcterms:W3CDTF">2023-01-05T13:17:36Z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