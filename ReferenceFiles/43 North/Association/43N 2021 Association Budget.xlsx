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jtbhomes.sharepoint.com/sites/Development/Shared Documents/General/Active Development Projects/43 North/Association/"/>
    </mc:Choice>
  </mc:AlternateContent>
  <xr:revisionPtr revIDLastSave="292" documentId="13_ncr:1_{7CB614D3-9E4A-4ACD-9DE6-A65AC2CE8A4F}" xr6:coauthVersionLast="47" xr6:coauthVersionMax="47" xr10:uidLastSave="{0BC6756B-65FA-4575-8536-E440062D6EF5}"/>
  <bookViews>
    <workbookView xWindow="28680" yWindow="-120" windowWidth="29040" windowHeight="15720" activeTab="9" xr2:uid="{00000000-000D-0000-FFFF-FFFF00000000}"/>
  </bookViews>
  <sheets>
    <sheet name="Sheet1" sheetId="1" r:id="rId1"/>
    <sheet name="2015" sheetId="2" r:id="rId2"/>
    <sheet name="2016" sheetId="3" r:id="rId3"/>
    <sheet name="2017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0" l="1"/>
  <c r="F20" i="10" s="1"/>
  <c r="F13" i="10"/>
  <c r="G13" i="10" s="1"/>
  <c r="F9" i="9"/>
  <c r="G9" i="9" s="1"/>
  <c r="F13" i="9"/>
  <c r="G13" i="9" s="1"/>
  <c r="E12" i="9"/>
  <c r="G12" i="9" s="1"/>
  <c r="G12" i="8"/>
  <c r="E20" i="10"/>
  <c r="G18" i="10"/>
  <c r="G17" i="10"/>
  <c r="G16" i="10"/>
  <c r="G15" i="10"/>
  <c r="G14" i="10"/>
  <c r="G12" i="10"/>
  <c r="G11" i="10"/>
  <c r="G10" i="10"/>
  <c r="G9" i="10"/>
  <c r="G5" i="10"/>
  <c r="G18" i="9"/>
  <c r="G17" i="9"/>
  <c r="G16" i="9"/>
  <c r="G15" i="9"/>
  <c r="G14" i="9"/>
  <c r="G11" i="9"/>
  <c r="G10" i="9"/>
  <c r="G5" i="9"/>
  <c r="E20" i="4"/>
  <c r="E20" i="3"/>
  <c r="E9" i="2"/>
  <c r="F9" i="8"/>
  <c r="F13" i="8"/>
  <c r="F9" i="6"/>
  <c r="G9" i="6" s="1"/>
  <c r="F13" i="5"/>
  <c r="F9" i="5"/>
  <c r="F9" i="4"/>
  <c r="F20" i="4" s="1"/>
  <c r="F9" i="3"/>
  <c r="F20" i="3" s="1"/>
  <c r="F22" i="3" s="1"/>
  <c r="F24" i="3" s="1"/>
  <c r="F9" i="2"/>
  <c r="G9" i="2" s="1"/>
  <c r="G18" i="8"/>
  <c r="G17" i="8"/>
  <c r="G16" i="8"/>
  <c r="G15" i="8"/>
  <c r="G14" i="8"/>
  <c r="G11" i="8"/>
  <c r="G10" i="8"/>
  <c r="G5" i="8"/>
  <c r="E20" i="7"/>
  <c r="G18" i="7"/>
  <c r="G17" i="7"/>
  <c r="G16" i="7"/>
  <c r="G15" i="7"/>
  <c r="G14" i="7"/>
  <c r="F13" i="7"/>
  <c r="G13" i="7" s="1"/>
  <c r="G12" i="7"/>
  <c r="G11" i="7"/>
  <c r="G10" i="7"/>
  <c r="F9" i="7"/>
  <c r="G9" i="7" s="1"/>
  <c r="F5" i="7"/>
  <c r="G5" i="7" s="1"/>
  <c r="E20" i="6"/>
  <c r="G18" i="6"/>
  <c r="G17" i="6"/>
  <c r="G16" i="6"/>
  <c r="G15" i="6"/>
  <c r="G14" i="6"/>
  <c r="F13" i="6"/>
  <c r="G13" i="6" s="1"/>
  <c r="G12" i="6"/>
  <c r="G11" i="6"/>
  <c r="G10" i="6"/>
  <c r="G5" i="6"/>
  <c r="E20" i="5"/>
  <c r="G18" i="5"/>
  <c r="G17" i="5"/>
  <c r="G16" i="5"/>
  <c r="G15" i="5"/>
  <c r="G14" i="5"/>
  <c r="G12" i="5"/>
  <c r="G11" i="5"/>
  <c r="G10" i="5"/>
  <c r="G9" i="5"/>
  <c r="G5" i="5"/>
  <c r="G18" i="4"/>
  <c r="G17" i="4"/>
  <c r="G16" i="4"/>
  <c r="G15" i="4"/>
  <c r="G14" i="4"/>
  <c r="G13" i="4"/>
  <c r="G12" i="4"/>
  <c r="G11" i="4"/>
  <c r="G10" i="4"/>
  <c r="G5" i="4"/>
  <c r="G18" i="3"/>
  <c r="G17" i="3"/>
  <c r="G16" i="3"/>
  <c r="G15" i="3"/>
  <c r="G14" i="3"/>
  <c r="F13" i="3"/>
  <c r="G13" i="3" s="1"/>
  <c r="G12" i="3"/>
  <c r="G11" i="3"/>
  <c r="G10" i="3"/>
  <c r="G5" i="3"/>
  <c r="E20" i="2"/>
  <c r="G18" i="2"/>
  <c r="G17" i="2"/>
  <c r="G16" i="2"/>
  <c r="G15" i="2"/>
  <c r="G14" i="2"/>
  <c r="F13" i="2"/>
  <c r="G13" i="2" s="1"/>
  <c r="G12" i="2"/>
  <c r="G11" i="2"/>
  <c r="G10" i="2"/>
  <c r="G5" i="2"/>
  <c r="AG5" i="1"/>
  <c r="E20" i="9" l="1"/>
  <c r="F20" i="8"/>
  <c r="F24" i="8" s="1"/>
  <c r="G20" i="10"/>
  <c r="F20" i="9"/>
  <c r="F24" i="9" s="1"/>
  <c r="E20" i="8"/>
  <c r="F24" i="10"/>
  <c r="F22" i="10"/>
  <c r="G20" i="9"/>
  <c r="G20" i="7"/>
  <c r="G9" i="8"/>
  <c r="G13" i="8"/>
  <c r="F20" i="2"/>
  <c r="F22" i="2" s="1"/>
  <c r="F24" i="2" s="1"/>
  <c r="F20" i="7"/>
  <c r="G20" i="6"/>
  <c r="F20" i="6"/>
  <c r="F20" i="5"/>
  <c r="F22" i="5" s="1"/>
  <c r="F24" i="5" s="1"/>
  <c r="G13" i="5"/>
  <c r="G20" i="5" s="1"/>
  <c r="F22" i="4"/>
  <c r="G9" i="4"/>
  <c r="G20" i="4" s="1"/>
  <c r="G9" i="3"/>
  <c r="G20" i="3" s="1"/>
  <c r="G20" i="2"/>
  <c r="AD9" i="1"/>
  <c r="F22" i="8" l="1"/>
  <c r="F22" i="9"/>
  <c r="G20" i="8"/>
  <c r="F24" i="7"/>
  <c r="F22" i="7"/>
  <c r="F24" i="6"/>
  <c r="F22" i="6"/>
  <c r="F24" i="4"/>
  <c r="AG20" i="1"/>
  <c r="AI18" i="1"/>
  <c r="AI17" i="1"/>
  <c r="AI16" i="1"/>
  <c r="AI15" i="1"/>
  <c r="AI14" i="1"/>
  <c r="AI13" i="1"/>
  <c r="AI12" i="1"/>
  <c r="AI11" i="1"/>
  <c r="AI10" i="1"/>
  <c r="AI9" i="1"/>
  <c r="AI5" i="1"/>
  <c r="AC5" i="1"/>
  <c r="AI20" i="1" l="1"/>
  <c r="AH20" i="1"/>
  <c r="AD5" i="1"/>
  <c r="AE5" i="1" s="1"/>
  <c r="AC20" i="1"/>
  <c r="AE18" i="1"/>
  <c r="AE17" i="1"/>
  <c r="AE16" i="1"/>
  <c r="AE15" i="1"/>
  <c r="AE14" i="1"/>
  <c r="AD13" i="1"/>
  <c r="AE13" i="1" s="1"/>
  <c r="AE12" i="1"/>
  <c r="AE11" i="1"/>
  <c r="AE10" i="1"/>
  <c r="AE9" i="1"/>
  <c r="Y20" i="1"/>
  <c r="AA18" i="1"/>
  <c r="AA17" i="1"/>
  <c r="AA16" i="1"/>
  <c r="AA15" i="1"/>
  <c r="AA14" i="1"/>
  <c r="Z13" i="1"/>
  <c r="Z20" i="1" s="1"/>
  <c r="Z22" i="1" s="1"/>
  <c r="AA12" i="1"/>
  <c r="AA11" i="1"/>
  <c r="AA10" i="1"/>
  <c r="AA9" i="1"/>
  <c r="AA5" i="1"/>
  <c r="AA13" i="1" l="1"/>
  <c r="Z24" i="1"/>
  <c r="AH22" i="1"/>
  <c r="AH24" i="1"/>
  <c r="AA20" i="1"/>
  <c r="AE20" i="1"/>
  <c r="AD20" i="1"/>
  <c r="X5" i="1"/>
  <c r="X20" i="1"/>
  <c r="X24" i="1" l="1"/>
  <c r="X25" i="1" s="1"/>
  <c r="AD22" i="1"/>
  <c r="AD24" i="1"/>
  <c r="V9" i="1"/>
  <c r="V17" i="1"/>
  <c r="V12" i="1"/>
  <c r="V10" i="1"/>
  <c r="U5" i="1" l="1"/>
  <c r="S18" i="1"/>
  <c r="S17" i="1"/>
  <c r="S16" i="1"/>
  <c r="S15" i="1"/>
  <c r="S14" i="1"/>
  <c r="S13" i="1"/>
  <c r="S12" i="1"/>
  <c r="S11" i="1"/>
  <c r="S10" i="1"/>
  <c r="S9" i="1"/>
  <c r="S5" i="1"/>
  <c r="O18" i="1"/>
  <c r="O17" i="1"/>
  <c r="O16" i="1"/>
  <c r="O15" i="1"/>
  <c r="O14" i="1"/>
  <c r="O13" i="1"/>
  <c r="O12" i="1"/>
  <c r="O11" i="1"/>
  <c r="O10" i="1"/>
  <c r="O5" i="1"/>
  <c r="K18" i="1"/>
  <c r="K17" i="1"/>
  <c r="K16" i="1"/>
  <c r="K15" i="1"/>
  <c r="K14" i="1"/>
  <c r="K12" i="1"/>
  <c r="K11" i="1"/>
  <c r="K10" i="1"/>
  <c r="K5" i="1"/>
  <c r="G18" i="1"/>
  <c r="G17" i="1"/>
  <c r="G16" i="1"/>
  <c r="G15" i="1"/>
  <c r="G14" i="1"/>
  <c r="G12" i="1"/>
  <c r="G11" i="1"/>
  <c r="G10" i="1"/>
  <c r="G9" i="1"/>
  <c r="G5" i="1"/>
  <c r="Q20" i="1"/>
  <c r="M20" i="1"/>
  <c r="I20" i="1"/>
  <c r="E20" i="1"/>
  <c r="R13" i="1"/>
  <c r="V13" i="1" s="1"/>
  <c r="U20" i="1" s="1"/>
  <c r="J13" i="1"/>
  <c r="K13" i="1" s="1"/>
  <c r="F13" i="1"/>
  <c r="G13" i="1" s="1"/>
  <c r="F20" i="1" l="1"/>
  <c r="F22" i="1" s="1"/>
  <c r="F24" i="1" s="1"/>
  <c r="G20" i="1"/>
  <c r="R20" i="1"/>
  <c r="R22" i="1" s="1"/>
  <c r="U22" i="1"/>
  <c r="S20" i="1"/>
  <c r="N9" i="1"/>
  <c r="J9" i="1"/>
  <c r="O9" i="1" l="1"/>
  <c r="O20" i="1" s="1"/>
  <c r="N20" i="1"/>
  <c r="N26" i="1" s="1"/>
  <c r="J20" i="1"/>
  <c r="J22" i="1" s="1"/>
  <c r="J24" i="1" s="1"/>
  <c r="K9" i="1"/>
  <c r="K20" i="1" s="1"/>
  <c r="N22" i="1" l="1"/>
  <c r="N24" i="1" s="1"/>
  <c r="R24" i="1" s="1"/>
</calcChain>
</file>

<file path=xl/sharedStrings.xml><?xml version="1.0" encoding="utf-8"?>
<sst xmlns="http://schemas.openxmlformats.org/spreadsheetml/2006/main" count="225" uniqueCount="27">
  <si>
    <t>43 North Condo Association</t>
  </si>
  <si>
    <t>Income</t>
  </si>
  <si>
    <t>Total</t>
  </si>
  <si>
    <t>Expenses</t>
  </si>
  <si>
    <t>Insurance</t>
  </si>
  <si>
    <t>Utilities (Electric for entry sign)</t>
  </si>
  <si>
    <t>Surplus/Shortfall</t>
  </si>
  <si>
    <t>Accounting/Legal</t>
  </si>
  <si>
    <t>Budget</t>
  </si>
  <si>
    <t>Private Road Maintenance</t>
  </si>
  <si>
    <t>Management Fee</t>
  </si>
  <si>
    <t>Reserve</t>
  </si>
  <si>
    <t>Bank Charges</t>
  </si>
  <si>
    <t>Reserve Balance</t>
  </si>
  <si>
    <t>Garbage Removal</t>
  </si>
  <si>
    <t>Office (Assoc Checks, filing fee)</t>
  </si>
  <si>
    <t>Actual</t>
  </si>
  <si>
    <t>B/(W) BUD</t>
  </si>
  <si>
    <t>2018 Actual</t>
  </si>
  <si>
    <t>2019 Projected Dues</t>
  </si>
  <si>
    <t>Annual Dues</t>
  </si>
  <si>
    <t>YTD 2019</t>
  </si>
  <si>
    <t>Complete!!</t>
  </si>
  <si>
    <t>Landscaping/Snow Plowing</t>
  </si>
  <si>
    <t>Maintenance</t>
  </si>
  <si>
    <t>Utilities (Electric/Water)</t>
  </si>
  <si>
    <t>JTB/Developer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</si>
</sst>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center"/>
    </xf>
    <xf numFmtId="43" fontId="0" fillId="3" borderId="1" xfId="1" applyFont="1" applyFill="1" applyBorder="1"/>
    <xf numFmtId="43" fontId="0" fillId="3" borderId="3" xfId="1" applyFont="1" applyFill="1" applyBorder="1"/>
    <xf numFmtId="43" fontId="0" fillId="3" borderId="4" xfId="1" applyFont="1" applyFill="1" applyBorder="1"/>
    <xf numFmtId="43" fontId="0" fillId="3" borderId="5" xfId="1" applyFont="1" applyFill="1" applyBorder="1"/>
    <xf numFmtId="43" fontId="0" fillId="2" borderId="5" xfId="1" applyFont="1" applyFill="1" applyBorder="1"/>
    <xf numFmtId="43" fontId="0" fillId="3" borderId="6" xfId="1" applyFont="1" applyFill="1" applyBorder="1"/>
    <xf numFmtId="43" fontId="0" fillId="3" borderId="7" xfId="1" applyFont="1" applyFill="1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43" fontId="0" fillId="0" borderId="12" xfId="1" applyFont="1" applyBorder="1"/>
    <xf numFmtId="43" fontId="0" fillId="0" borderId="13" xfId="1" applyFont="1" applyBorder="1"/>
    <xf numFmtId="43" fontId="0" fillId="0" borderId="11" xfId="1" applyFont="1" applyBorder="1"/>
    <xf numFmtId="43" fontId="0" fillId="0" borderId="14" xfId="1" applyFont="1" applyBorder="1"/>
    <xf numFmtId="0" fontId="0" fillId="3" borderId="4" xfId="0" applyFill="1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43" fontId="0" fillId="0" borderId="0" xfId="1" applyFont="1" applyBorder="1"/>
    <xf numFmtId="43" fontId="0" fillId="0" borderId="15" xfId="1" applyFont="1" applyBorder="1"/>
    <xf numFmtId="43" fontId="0" fillId="0" borderId="15" xfId="0" applyNumberFormat="1" applyBorder="1"/>
    <xf numFmtId="0" fontId="0" fillId="0" borderId="16" xfId="0" applyBorder="1"/>
    <xf numFmtId="0" fontId="2" fillId="2" borderId="0" xfId="0" applyFont="1" applyFill="1"/>
    <xf numFmtId="43" fontId="2" fillId="3" borderId="1" xfId="1" applyFont="1" applyFill="1" applyBorder="1"/>
    <xf numFmtId="43" fontId="2" fillId="0" borderId="12" xfId="1" applyFont="1" applyBorder="1"/>
    <xf numFmtId="43" fontId="2" fillId="0" borderId="13" xfId="1" applyFont="1" applyBorder="1"/>
    <xf numFmtId="43" fontId="2" fillId="0" borderId="11" xfId="1" applyFont="1" applyBorder="1"/>
    <xf numFmtId="43" fontId="3" fillId="0" borderId="13" xfId="1" applyFont="1" applyBorder="1"/>
    <xf numFmtId="164" fontId="3" fillId="0" borderId="12" xfId="1" applyNumberFormat="1" applyFont="1" applyBorder="1"/>
    <xf numFmtId="43" fontId="0" fillId="2" borderId="7" xfId="1" applyFont="1" applyFill="1" applyBorder="1"/>
    <xf numFmtId="43" fontId="3" fillId="3" borderId="1" xfId="1" applyFont="1" applyFill="1" applyBorder="1"/>
    <xf numFmtId="43" fontId="0" fillId="3" borderId="0" xfId="1" applyFont="1" applyFill="1" applyBorder="1"/>
    <xf numFmtId="0" fontId="0" fillId="3" borderId="0" xfId="0" applyFill="1"/>
    <xf numFmtId="43" fontId="0" fillId="2" borderId="0" xfId="1" applyFont="1" applyFill="1" applyBorder="1"/>
    <xf numFmtId="43" fontId="2" fillId="0" borderId="0" xfId="1" applyFont="1" applyBorder="1"/>
    <xf numFmtId="43" fontId="3" fillId="3" borderId="0" xfId="1" applyFont="1" applyFill="1" applyBorder="1"/>
    <xf numFmtId="164" fontId="3" fillId="0" borderId="0" xfId="1" applyNumberFormat="1" applyFont="1" applyBorder="1"/>
    <xf numFmtId="43" fontId="3" fillId="0" borderId="0" xfId="1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27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22" sqref="J22"/>
    </sheetView>
  </sheetViews>
  <sheetFormatPr defaultRowHeight="15" x14ac:dyDescent="0.25"/>
  <cols>
    <col min="2" max="2" width="16.140625" customWidth="1"/>
    <col min="4" max="4" width="8.85546875" customWidth="1"/>
    <col min="5" max="5" width="10.5703125" customWidth="1"/>
    <col min="6" max="6" width="9.5703125" customWidth="1"/>
    <col min="7" max="7" width="10.42578125" customWidth="1"/>
    <col min="8" max="8" width="8.85546875" customWidth="1"/>
    <col min="9" max="11" width="10.5703125" customWidth="1"/>
    <col min="12" max="12" width="8.85546875" customWidth="1"/>
    <col min="13" max="15" width="10.5703125" customWidth="1"/>
    <col min="16" max="16" width="8.85546875" customWidth="1"/>
    <col min="17" max="18" width="10.5703125" customWidth="1"/>
    <col min="19" max="19" width="10.42578125" customWidth="1"/>
    <col min="20" max="20" width="8.85546875" customWidth="1"/>
    <col min="21" max="21" width="10.5703125" customWidth="1"/>
    <col min="22" max="22" width="9.5703125" customWidth="1"/>
    <col min="23" max="24" width="8.85546875" customWidth="1"/>
    <col min="25" max="25" width="10.140625" customWidth="1"/>
    <col min="26" max="26" width="10.28515625" customWidth="1"/>
    <col min="27" max="27" width="9.85546875" customWidth="1"/>
    <col min="28" max="28" width="8.85546875" customWidth="1"/>
    <col min="29" max="29" width="10.140625" customWidth="1"/>
    <col min="30" max="30" width="10.28515625" customWidth="1"/>
    <col min="31" max="31" width="9.85546875" customWidth="1"/>
    <col min="33" max="33" width="10.140625" bestFit="1" customWidth="1"/>
    <col min="35" max="35" width="10.7109375" bestFit="1" customWidth="1"/>
  </cols>
  <sheetData>
    <row r="1" spans="1:35" ht="15.75" thickBot="1" x14ac:dyDescent="0.3">
      <c r="A1" t="s">
        <v>0</v>
      </c>
      <c r="R1" s="26" t="s">
        <v>22</v>
      </c>
      <c r="U1" s="26" t="s">
        <v>22</v>
      </c>
      <c r="Z1" s="26" t="s">
        <v>22</v>
      </c>
    </row>
    <row r="2" spans="1:35" x14ac:dyDescent="0.25">
      <c r="E2" s="42">
        <v>2015</v>
      </c>
      <c r="F2" s="43"/>
      <c r="G2" s="44"/>
      <c r="I2" s="42">
        <v>2016</v>
      </c>
      <c r="J2" s="43"/>
      <c r="K2" s="44"/>
      <c r="L2" s="3"/>
      <c r="M2" s="42">
        <v>2017</v>
      </c>
      <c r="N2" s="43"/>
      <c r="O2" s="44"/>
      <c r="P2" s="3"/>
      <c r="Q2" s="42">
        <v>2018</v>
      </c>
      <c r="R2" s="43"/>
      <c r="S2" s="44"/>
      <c r="X2" t="s">
        <v>21</v>
      </c>
      <c r="Y2" s="42">
        <v>2019</v>
      </c>
      <c r="Z2" s="43"/>
      <c r="AA2" s="44"/>
      <c r="AC2" s="42">
        <v>2020</v>
      </c>
      <c r="AD2" s="43"/>
      <c r="AE2" s="44"/>
      <c r="AG2" s="42">
        <v>2021</v>
      </c>
      <c r="AH2" s="43"/>
      <c r="AI2" s="44"/>
    </row>
    <row r="3" spans="1:35" ht="15.75" thickBot="1" x14ac:dyDescent="0.3">
      <c r="E3" s="19" t="s">
        <v>8</v>
      </c>
      <c r="F3" s="20" t="s">
        <v>16</v>
      </c>
      <c r="G3" s="21" t="s">
        <v>17</v>
      </c>
      <c r="H3" s="3"/>
      <c r="I3" s="19" t="s">
        <v>8</v>
      </c>
      <c r="J3" s="20" t="s">
        <v>16</v>
      </c>
      <c r="K3" s="21" t="s">
        <v>17</v>
      </c>
      <c r="L3" s="3"/>
      <c r="M3" s="19" t="s">
        <v>8</v>
      </c>
      <c r="N3" s="20" t="s">
        <v>16</v>
      </c>
      <c r="O3" s="21" t="s">
        <v>17</v>
      </c>
      <c r="P3" s="3"/>
      <c r="Q3" s="19" t="s">
        <v>8</v>
      </c>
      <c r="R3" s="20" t="s">
        <v>16</v>
      </c>
      <c r="S3" s="21" t="s">
        <v>17</v>
      </c>
      <c r="U3" s="25" t="s">
        <v>18</v>
      </c>
      <c r="Y3" s="19" t="s">
        <v>8</v>
      </c>
      <c r="Z3" s="20" t="s">
        <v>16</v>
      </c>
      <c r="AA3" s="21" t="s">
        <v>17</v>
      </c>
      <c r="AC3" s="19" t="s">
        <v>8</v>
      </c>
      <c r="AD3" s="20" t="s">
        <v>16</v>
      </c>
      <c r="AE3" s="21" t="s">
        <v>17</v>
      </c>
      <c r="AG3" s="19" t="s">
        <v>8</v>
      </c>
      <c r="AH3" s="20" t="s">
        <v>16</v>
      </c>
      <c r="AI3" s="21" t="s">
        <v>17</v>
      </c>
    </row>
    <row r="4" spans="1:35" ht="15.75" thickBot="1" x14ac:dyDescent="0.3">
      <c r="A4" t="s">
        <v>1</v>
      </c>
      <c r="E4" s="11"/>
      <c r="F4" s="13"/>
      <c r="G4" s="12"/>
      <c r="I4" s="11"/>
      <c r="J4" s="13"/>
      <c r="K4" s="12"/>
      <c r="M4" s="11"/>
      <c r="N4" s="13"/>
      <c r="O4" s="12"/>
      <c r="Q4" s="11"/>
      <c r="R4" s="13"/>
      <c r="S4" s="12"/>
      <c r="Y4" s="11"/>
      <c r="Z4" s="13"/>
      <c r="AA4" s="12"/>
      <c r="AC4" s="11"/>
      <c r="AD4" s="13"/>
      <c r="AE4" s="12"/>
      <c r="AG4" s="11"/>
      <c r="AH4" s="13"/>
      <c r="AI4" s="12"/>
    </row>
    <row r="5" spans="1:35" x14ac:dyDescent="0.25">
      <c r="B5" t="s">
        <v>20</v>
      </c>
      <c r="E5" s="4">
        <v>12500</v>
      </c>
      <c r="F5" s="14">
        <v>8391.02</v>
      </c>
      <c r="G5" s="5">
        <f>F5-E5</f>
        <v>-4108.9799999999996</v>
      </c>
      <c r="H5" s="1"/>
      <c r="I5" s="4">
        <v>12550</v>
      </c>
      <c r="J5" s="14">
        <v>14061.55</v>
      </c>
      <c r="K5" s="5">
        <f>J5-I5</f>
        <v>1511.5499999999993</v>
      </c>
      <c r="L5" s="1"/>
      <c r="M5" s="4">
        <v>12550</v>
      </c>
      <c r="N5" s="14">
        <v>12050</v>
      </c>
      <c r="O5" s="5">
        <f>N5-M5</f>
        <v>-500</v>
      </c>
      <c r="P5" s="1"/>
      <c r="Q5" s="4">
        <v>12550</v>
      </c>
      <c r="R5" s="14">
        <v>12150</v>
      </c>
      <c r="S5" s="5">
        <f>R5-Q5</f>
        <v>-400</v>
      </c>
      <c r="U5" s="24">
        <f>R5</f>
        <v>12150</v>
      </c>
      <c r="X5">
        <f>15250+625+2.66</f>
        <v>15877.66</v>
      </c>
      <c r="Y5" s="27">
        <v>12550</v>
      </c>
      <c r="Z5" s="28">
        <v>15877.66</v>
      </c>
      <c r="AA5" s="5">
        <f>Z5-Y5</f>
        <v>3327.66</v>
      </c>
      <c r="AC5" s="34">
        <f>(23*650)+700</f>
        <v>15650</v>
      </c>
      <c r="AD5" s="32">
        <f>15650+600</f>
        <v>16250</v>
      </c>
      <c r="AE5" s="5">
        <f>AD5-AC5</f>
        <v>600</v>
      </c>
      <c r="AG5" s="34">
        <f>(24*650)</f>
        <v>15600</v>
      </c>
      <c r="AH5" s="32"/>
      <c r="AI5" s="5">
        <f>AH5-AG5</f>
        <v>-15600</v>
      </c>
    </row>
    <row r="6" spans="1:35" x14ac:dyDescent="0.25">
      <c r="E6" s="18"/>
      <c r="F6" s="15"/>
      <c r="G6" s="7"/>
      <c r="H6" s="1"/>
      <c r="I6" s="18"/>
      <c r="J6" s="15"/>
      <c r="K6" s="7"/>
      <c r="L6" s="1"/>
      <c r="M6" s="18"/>
      <c r="N6" s="15"/>
      <c r="O6" s="7"/>
      <c r="P6" s="1"/>
      <c r="Q6" s="6"/>
      <c r="R6" s="15"/>
      <c r="S6" s="7"/>
      <c r="Y6" s="6"/>
      <c r="Z6" s="15"/>
      <c r="AA6" s="7"/>
      <c r="AC6" s="6"/>
      <c r="AD6" s="15"/>
      <c r="AE6" s="7"/>
      <c r="AG6" s="6"/>
      <c r="AH6" s="15"/>
      <c r="AI6" s="7"/>
    </row>
    <row r="7" spans="1:35" x14ac:dyDescent="0.25">
      <c r="E7" s="18"/>
      <c r="F7" s="15"/>
      <c r="G7" s="7"/>
      <c r="H7" s="1"/>
      <c r="I7" s="18"/>
      <c r="J7" s="15"/>
      <c r="K7" s="7"/>
      <c r="L7" s="1"/>
      <c r="M7" s="18"/>
      <c r="N7" s="15"/>
      <c r="O7" s="7"/>
      <c r="P7" s="1"/>
      <c r="Q7" s="6"/>
      <c r="R7" s="15"/>
      <c r="S7" s="7"/>
      <c r="Y7" s="6"/>
      <c r="Z7" s="15"/>
      <c r="AA7" s="7"/>
      <c r="AC7" s="6"/>
      <c r="AD7" s="15"/>
      <c r="AE7" s="7"/>
      <c r="AG7" s="6"/>
      <c r="AH7" s="15"/>
      <c r="AI7" s="7"/>
    </row>
    <row r="8" spans="1:35" x14ac:dyDescent="0.25">
      <c r="A8" t="s">
        <v>3</v>
      </c>
      <c r="E8" s="18"/>
      <c r="F8" s="15"/>
      <c r="G8" s="7"/>
      <c r="H8" s="1"/>
      <c r="I8" s="18"/>
      <c r="J8" s="15"/>
      <c r="K8" s="7"/>
      <c r="L8" s="1"/>
      <c r="M8" s="18"/>
      <c r="N8" s="15"/>
      <c r="O8" s="7"/>
      <c r="P8" s="1"/>
      <c r="Q8" s="6"/>
      <c r="R8" s="15"/>
      <c r="S8" s="7"/>
      <c r="Y8" s="6"/>
      <c r="Z8" s="15"/>
      <c r="AA8" s="7"/>
      <c r="AC8" s="6"/>
      <c r="AD8" s="15"/>
      <c r="AE8" s="7"/>
      <c r="AG8" s="6"/>
      <c r="AH8" s="15"/>
      <c r="AI8" s="7"/>
    </row>
    <row r="9" spans="1:35" x14ac:dyDescent="0.25">
      <c r="B9" t="s">
        <v>23</v>
      </c>
      <c r="E9" s="6">
        <v>2400</v>
      </c>
      <c r="F9" s="15">
        <v>1850</v>
      </c>
      <c r="G9" s="7">
        <f>E9-F9</f>
        <v>550</v>
      </c>
      <c r="H9" s="1"/>
      <c r="I9" s="6">
        <v>2400</v>
      </c>
      <c r="J9" s="15">
        <f>925+925+3485</f>
        <v>5335</v>
      </c>
      <c r="K9" s="8">
        <f>I9-J9</f>
        <v>-2935</v>
      </c>
      <c r="L9" s="1"/>
      <c r="M9" s="6">
        <v>2400</v>
      </c>
      <c r="N9" s="15">
        <f>720+680+964+993+255+170+255+1600</f>
        <v>5637</v>
      </c>
      <c r="O9" s="8">
        <f>M9-N9</f>
        <v>-3237</v>
      </c>
      <c r="P9" s="1"/>
      <c r="Q9" s="6">
        <v>2400</v>
      </c>
      <c r="R9" s="15">
        <v>7520</v>
      </c>
      <c r="S9" s="8">
        <f>Q9-R9</f>
        <v>-5120</v>
      </c>
      <c r="V9" s="22">
        <f>R9</f>
        <v>7520</v>
      </c>
      <c r="X9">
        <v>7225</v>
      </c>
      <c r="Y9" s="6">
        <v>2400</v>
      </c>
      <c r="Z9" s="29">
        <v>7225</v>
      </c>
      <c r="AA9" s="8">
        <f>Y9-Z9</f>
        <v>-4825</v>
      </c>
      <c r="AC9" s="6">
        <v>9000</v>
      </c>
      <c r="AD9" s="31">
        <f>3918.3+4113.25</f>
        <v>8031.55</v>
      </c>
      <c r="AE9" s="8">
        <f>AC9-AD9</f>
        <v>968.44999999999982</v>
      </c>
      <c r="AG9" s="6">
        <v>9000</v>
      </c>
      <c r="AH9" s="31"/>
      <c r="AI9" s="7">
        <f>AG9-AH9</f>
        <v>9000</v>
      </c>
    </row>
    <row r="10" spans="1:35" x14ac:dyDescent="0.25">
      <c r="B10" t="s">
        <v>14</v>
      </c>
      <c r="E10" s="6">
        <v>3600</v>
      </c>
      <c r="F10" s="15">
        <v>46.75</v>
      </c>
      <c r="G10" s="7">
        <f t="shared" ref="G10:G18" si="0">E10-F10</f>
        <v>3553.25</v>
      </c>
      <c r="H10" s="1"/>
      <c r="I10" s="6">
        <v>3600</v>
      </c>
      <c r="J10" s="15">
        <v>1835.16</v>
      </c>
      <c r="K10" s="7">
        <f t="shared" ref="K10:K18" si="1">I10-J10</f>
        <v>1764.84</v>
      </c>
      <c r="L10" s="1"/>
      <c r="M10" s="6">
        <v>3600</v>
      </c>
      <c r="N10" s="15">
        <v>4000.32</v>
      </c>
      <c r="O10" s="8">
        <f t="shared" ref="O10:O18" si="2">M10-N10</f>
        <v>-400.32000000000016</v>
      </c>
      <c r="P10" s="1"/>
      <c r="Q10" s="6">
        <v>3600</v>
      </c>
      <c r="R10" s="15">
        <v>3208.32</v>
      </c>
      <c r="S10" s="7">
        <f t="shared" ref="S10:S18" si="3">Q10-R10</f>
        <v>391.67999999999984</v>
      </c>
      <c r="V10" s="22">
        <f>R10</f>
        <v>3208.32</v>
      </c>
      <c r="X10">
        <v>3208.32</v>
      </c>
      <c r="Y10" s="6">
        <v>3600</v>
      </c>
      <c r="Z10" s="29">
        <v>3208.32</v>
      </c>
      <c r="AA10" s="7">
        <f t="shared" ref="AA10:AA18" si="4">Y10-Z10</f>
        <v>391.67999999999984</v>
      </c>
      <c r="AC10" s="6">
        <v>3500</v>
      </c>
      <c r="AD10" s="31">
        <v>3271.32</v>
      </c>
      <c r="AE10" s="7">
        <f t="shared" ref="AE10:AE18" si="5">AC10-AD10</f>
        <v>228.67999999999984</v>
      </c>
      <c r="AG10" s="6">
        <v>3500</v>
      </c>
      <c r="AH10" s="31"/>
      <c r="AI10" s="7">
        <f t="shared" ref="AI10:AI18" si="6">AG10-AH10</f>
        <v>3500</v>
      </c>
    </row>
    <row r="11" spans="1:35" x14ac:dyDescent="0.25">
      <c r="B11" t="s">
        <v>9</v>
      </c>
      <c r="E11" s="6">
        <v>0</v>
      </c>
      <c r="F11" s="15"/>
      <c r="G11" s="7">
        <f t="shared" si="0"/>
        <v>0</v>
      </c>
      <c r="H11" s="1"/>
      <c r="I11" s="6">
        <v>0</v>
      </c>
      <c r="J11" s="15"/>
      <c r="K11" s="7">
        <f t="shared" si="1"/>
        <v>0</v>
      </c>
      <c r="L11" s="1"/>
      <c r="M11" s="6">
        <v>0</v>
      </c>
      <c r="N11" s="15"/>
      <c r="O11" s="7">
        <f t="shared" si="2"/>
        <v>0</v>
      </c>
      <c r="P11" s="1"/>
      <c r="Q11" s="6">
        <v>0</v>
      </c>
      <c r="R11" s="15"/>
      <c r="S11" s="7">
        <f t="shared" si="3"/>
        <v>0</v>
      </c>
      <c r="V11" s="22"/>
      <c r="Y11" s="6">
        <v>0</v>
      </c>
      <c r="Z11" s="29"/>
      <c r="AA11" s="7">
        <f t="shared" si="4"/>
        <v>0</v>
      </c>
      <c r="AC11" s="6">
        <v>0</v>
      </c>
      <c r="AD11" s="29"/>
      <c r="AE11" s="7">
        <f t="shared" si="5"/>
        <v>0</v>
      </c>
      <c r="AG11" s="6">
        <v>0</v>
      </c>
      <c r="AH11" s="29"/>
      <c r="AI11" s="7">
        <f t="shared" si="6"/>
        <v>0</v>
      </c>
    </row>
    <row r="12" spans="1:35" x14ac:dyDescent="0.25">
      <c r="B12" t="s">
        <v>5</v>
      </c>
      <c r="E12" s="6">
        <v>300</v>
      </c>
      <c r="F12" s="15">
        <v>329.81</v>
      </c>
      <c r="G12" s="7">
        <f t="shared" si="0"/>
        <v>-29.810000000000002</v>
      </c>
      <c r="H12" s="1"/>
      <c r="I12" s="6">
        <v>300</v>
      </c>
      <c r="J12" s="15">
        <v>550.65</v>
      </c>
      <c r="K12" s="8">
        <f t="shared" si="1"/>
        <v>-250.64999999999998</v>
      </c>
      <c r="L12" s="1"/>
      <c r="M12" s="6">
        <v>300</v>
      </c>
      <c r="N12" s="15">
        <v>638.57000000000005</v>
      </c>
      <c r="O12" s="8">
        <f t="shared" si="2"/>
        <v>-338.57000000000005</v>
      </c>
      <c r="P12" s="1"/>
      <c r="Q12" s="6">
        <v>300</v>
      </c>
      <c r="R12" s="15">
        <v>662.69</v>
      </c>
      <c r="S12" s="8">
        <f t="shared" si="3"/>
        <v>-362.69000000000005</v>
      </c>
      <c r="T12" s="2"/>
      <c r="V12" s="22">
        <f>R12</f>
        <v>662.69</v>
      </c>
      <c r="X12">
        <v>552.05999999999995</v>
      </c>
      <c r="Y12" s="6">
        <v>300</v>
      </c>
      <c r="Z12" s="29">
        <v>552.05999999999995</v>
      </c>
      <c r="AA12" s="8">
        <f t="shared" si="4"/>
        <v>-252.05999999999995</v>
      </c>
      <c r="AC12" s="6">
        <v>650</v>
      </c>
      <c r="AD12" s="31">
        <v>610.33000000000004</v>
      </c>
      <c r="AE12" s="8">
        <f t="shared" si="5"/>
        <v>39.669999999999959</v>
      </c>
      <c r="AG12" s="6">
        <v>650</v>
      </c>
      <c r="AH12" s="31"/>
      <c r="AI12" s="7">
        <f t="shared" si="6"/>
        <v>650</v>
      </c>
    </row>
    <row r="13" spans="1:35" x14ac:dyDescent="0.25">
      <c r="B13" t="s">
        <v>15</v>
      </c>
      <c r="E13" s="6">
        <v>100</v>
      </c>
      <c r="F13" s="15">
        <f>27.95+20</f>
        <v>47.95</v>
      </c>
      <c r="G13" s="7">
        <f t="shared" si="0"/>
        <v>52.05</v>
      </c>
      <c r="H13" s="1"/>
      <c r="I13" s="6">
        <v>100</v>
      </c>
      <c r="J13" s="15">
        <f>39.95+20</f>
        <v>59.95</v>
      </c>
      <c r="K13" s="7">
        <f t="shared" si="1"/>
        <v>40.049999999999997</v>
      </c>
      <c r="L13" s="1"/>
      <c r="M13" s="6">
        <v>100</v>
      </c>
      <c r="N13" s="15">
        <v>0</v>
      </c>
      <c r="O13" s="7">
        <f t="shared" si="2"/>
        <v>100</v>
      </c>
      <c r="P13" s="1"/>
      <c r="Q13" s="6">
        <v>100</v>
      </c>
      <c r="R13" s="15">
        <f>20</f>
        <v>20</v>
      </c>
      <c r="S13" s="7">
        <f t="shared" si="3"/>
        <v>80</v>
      </c>
      <c r="T13" s="2"/>
      <c r="V13" s="22">
        <f>R13</f>
        <v>20</v>
      </c>
      <c r="X13">
        <v>20</v>
      </c>
      <c r="Y13" s="6">
        <v>100</v>
      </c>
      <c r="Z13" s="29">
        <f>20</f>
        <v>20</v>
      </c>
      <c r="AA13" s="7">
        <f t="shared" si="4"/>
        <v>80</v>
      </c>
      <c r="AC13" s="6">
        <v>100</v>
      </c>
      <c r="AD13" s="31">
        <f>20</f>
        <v>20</v>
      </c>
      <c r="AE13" s="7">
        <f t="shared" si="5"/>
        <v>80</v>
      </c>
      <c r="AG13" s="6">
        <v>100</v>
      </c>
      <c r="AH13" s="31"/>
      <c r="AI13" s="7">
        <f t="shared" si="6"/>
        <v>100</v>
      </c>
    </row>
    <row r="14" spans="1:35" x14ac:dyDescent="0.25">
      <c r="B14" t="s">
        <v>10</v>
      </c>
      <c r="E14" s="6">
        <v>600</v>
      </c>
      <c r="F14" s="15"/>
      <c r="G14" s="7">
        <f t="shared" si="0"/>
        <v>600</v>
      </c>
      <c r="H14" s="1"/>
      <c r="I14" s="6">
        <v>600</v>
      </c>
      <c r="J14" s="15"/>
      <c r="K14" s="7">
        <f t="shared" si="1"/>
        <v>600</v>
      </c>
      <c r="L14" s="1"/>
      <c r="M14" s="6">
        <v>600</v>
      </c>
      <c r="N14" s="15"/>
      <c r="O14" s="7">
        <f t="shared" si="2"/>
        <v>600</v>
      </c>
      <c r="P14" s="1"/>
      <c r="Q14" s="6">
        <v>600</v>
      </c>
      <c r="R14" s="15"/>
      <c r="S14" s="7">
        <f t="shared" si="3"/>
        <v>600</v>
      </c>
      <c r="V14" s="22"/>
      <c r="X14">
        <v>0</v>
      </c>
      <c r="Y14" s="6">
        <v>600</v>
      </c>
      <c r="Z14" s="29"/>
      <c r="AA14" s="7">
        <f t="shared" si="4"/>
        <v>600</v>
      </c>
      <c r="AC14" s="6">
        <v>0</v>
      </c>
      <c r="AD14" s="29"/>
      <c r="AE14" s="7">
        <f t="shared" si="5"/>
        <v>0</v>
      </c>
      <c r="AG14" s="6">
        <v>0</v>
      </c>
      <c r="AH14" s="29"/>
      <c r="AI14" s="7">
        <f t="shared" si="6"/>
        <v>0</v>
      </c>
    </row>
    <row r="15" spans="1:35" x14ac:dyDescent="0.25">
      <c r="B15" t="s">
        <v>7</v>
      </c>
      <c r="E15" s="6">
        <v>250</v>
      </c>
      <c r="F15" s="15">
        <v>0</v>
      </c>
      <c r="G15" s="7">
        <f t="shared" si="0"/>
        <v>250</v>
      </c>
      <c r="H15" s="1"/>
      <c r="I15" s="6">
        <v>250</v>
      </c>
      <c r="J15" s="15">
        <v>0</v>
      </c>
      <c r="K15" s="7">
        <f t="shared" si="1"/>
        <v>250</v>
      </c>
      <c r="L15" s="1"/>
      <c r="M15" s="6">
        <v>250</v>
      </c>
      <c r="N15" s="15">
        <v>0</v>
      </c>
      <c r="O15" s="7">
        <f t="shared" si="2"/>
        <v>250</v>
      </c>
      <c r="P15" s="1"/>
      <c r="Q15" s="6">
        <v>250</v>
      </c>
      <c r="R15" s="15"/>
      <c r="S15" s="7">
        <f t="shared" si="3"/>
        <v>250</v>
      </c>
      <c r="V15" s="22"/>
      <c r="Y15" s="6">
        <v>250</v>
      </c>
      <c r="Z15" s="29"/>
      <c r="AA15" s="7">
        <f t="shared" si="4"/>
        <v>250</v>
      </c>
      <c r="AC15" s="6">
        <v>100</v>
      </c>
      <c r="AD15" s="29"/>
      <c r="AE15" s="7">
        <f t="shared" si="5"/>
        <v>100</v>
      </c>
      <c r="AG15" s="6">
        <v>100</v>
      </c>
      <c r="AH15" s="29"/>
      <c r="AI15" s="7">
        <f t="shared" si="6"/>
        <v>100</v>
      </c>
    </row>
    <row r="16" spans="1:35" x14ac:dyDescent="0.25">
      <c r="B16" t="s">
        <v>12</v>
      </c>
      <c r="E16" s="6">
        <v>100</v>
      </c>
      <c r="F16" s="15"/>
      <c r="G16" s="7">
        <f t="shared" si="0"/>
        <v>100</v>
      </c>
      <c r="H16" s="1"/>
      <c r="I16" s="6">
        <v>100</v>
      </c>
      <c r="J16" s="15"/>
      <c r="K16" s="7">
        <f t="shared" si="1"/>
        <v>100</v>
      </c>
      <c r="L16" s="1"/>
      <c r="M16" s="6">
        <v>100</v>
      </c>
      <c r="N16" s="15"/>
      <c r="O16" s="7">
        <f t="shared" si="2"/>
        <v>100</v>
      </c>
      <c r="P16" s="1"/>
      <c r="Q16" s="6">
        <v>100</v>
      </c>
      <c r="R16" s="15"/>
      <c r="S16" s="7">
        <f t="shared" si="3"/>
        <v>100</v>
      </c>
      <c r="V16" s="22"/>
      <c r="Y16" s="6">
        <v>100</v>
      </c>
      <c r="Z16" s="29"/>
      <c r="AA16" s="7">
        <f t="shared" si="4"/>
        <v>100</v>
      </c>
      <c r="AC16" s="6">
        <v>100</v>
      </c>
      <c r="AD16" s="29"/>
      <c r="AE16" s="7">
        <f t="shared" si="5"/>
        <v>100</v>
      </c>
      <c r="AG16" s="6">
        <v>100</v>
      </c>
      <c r="AH16" s="29"/>
      <c r="AI16" s="7">
        <f t="shared" si="6"/>
        <v>100</v>
      </c>
    </row>
    <row r="17" spans="2:35" x14ac:dyDescent="0.25">
      <c r="B17" t="s">
        <v>4</v>
      </c>
      <c r="E17" s="6">
        <v>750</v>
      </c>
      <c r="F17" s="15">
        <v>311</v>
      </c>
      <c r="G17" s="7">
        <f t="shared" si="0"/>
        <v>439</v>
      </c>
      <c r="H17" s="1"/>
      <c r="I17" s="6">
        <v>750</v>
      </c>
      <c r="J17" s="15">
        <v>595</v>
      </c>
      <c r="K17" s="7">
        <f t="shared" si="1"/>
        <v>155</v>
      </c>
      <c r="L17" s="1"/>
      <c r="M17" s="6">
        <v>750</v>
      </c>
      <c r="N17" s="15">
        <v>596</v>
      </c>
      <c r="O17" s="7">
        <f t="shared" si="2"/>
        <v>154</v>
      </c>
      <c r="P17" s="1"/>
      <c r="Q17" s="6">
        <v>750</v>
      </c>
      <c r="R17" s="15">
        <v>589</v>
      </c>
      <c r="S17" s="7">
        <f t="shared" si="3"/>
        <v>161</v>
      </c>
      <c r="V17" s="22">
        <f>R17</f>
        <v>589</v>
      </c>
      <c r="X17">
        <v>595</v>
      </c>
      <c r="Y17" s="6">
        <v>750</v>
      </c>
      <c r="Z17" s="29">
        <v>595</v>
      </c>
      <c r="AA17" s="7">
        <f t="shared" si="4"/>
        <v>155</v>
      </c>
      <c r="AC17" s="6">
        <v>600</v>
      </c>
      <c r="AD17" s="31">
        <v>592</v>
      </c>
      <c r="AE17" s="7">
        <f t="shared" si="5"/>
        <v>8</v>
      </c>
      <c r="AG17" s="6">
        <v>600</v>
      </c>
      <c r="AH17" s="31"/>
      <c r="AI17" s="7">
        <f t="shared" si="6"/>
        <v>600</v>
      </c>
    </row>
    <row r="18" spans="2:35" x14ac:dyDescent="0.25">
      <c r="B18" t="s">
        <v>11</v>
      </c>
      <c r="E18" s="6">
        <v>1400</v>
      </c>
      <c r="F18" s="15"/>
      <c r="G18" s="7">
        <f t="shared" si="0"/>
        <v>1400</v>
      </c>
      <c r="H18" s="1"/>
      <c r="I18" s="6">
        <v>1400</v>
      </c>
      <c r="J18" s="15"/>
      <c r="K18" s="7">
        <f t="shared" si="1"/>
        <v>1400</v>
      </c>
      <c r="L18" s="1"/>
      <c r="M18" s="6">
        <v>1400</v>
      </c>
      <c r="N18" s="15"/>
      <c r="O18" s="7">
        <f t="shared" si="2"/>
        <v>1400</v>
      </c>
      <c r="P18" s="1"/>
      <c r="Q18" s="6">
        <v>1400</v>
      </c>
      <c r="R18" s="15"/>
      <c r="S18" s="7">
        <f t="shared" si="3"/>
        <v>1400</v>
      </c>
      <c r="V18" s="23">
        <v>1800</v>
      </c>
      <c r="Y18" s="6">
        <v>1400</v>
      </c>
      <c r="Z18" s="29"/>
      <c r="AA18" s="7">
        <f t="shared" si="4"/>
        <v>1400</v>
      </c>
      <c r="AC18" s="6">
        <v>1600</v>
      </c>
      <c r="AD18" s="29"/>
      <c r="AE18" s="7">
        <f t="shared" si="5"/>
        <v>1600</v>
      </c>
      <c r="AG18" s="6">
        <v>1600</v>
      </c>
      <c r="AH18" s="29"/>
      <c r="AI18" s="7">
        <f t="shared" si="6"/>
        <v>1600</v>
      </c>
    </row>
    <row r="19" spans="2:35" x14ac:dyDescent="0.25">
      <c r="E19" s="6"/>
      <c r="F19" s="15"/>
      <c r="G19" s="7"/>
      <c r="H19" s="1"/>
      <c r="I19" s="6"/>
      <c r="J19" s="15"/>
      <c r="K19" s="7"/>
      <c r="L19" s="1"/>
      <c r="M19" s="6"/>
      <c r="N19" s="15"/>
      <c r="O19" s="7"/>
      <c r="P19" s="1"/>
      <c r="Q19" s="6"/>
      <c r="R19" s="15"/>
      <c r="S19" s="7"/>
      <c r="U19" s="22"/>
      <c r="Y19" s="6"/>
      <c r="Z19" s="29"/>
      <c r="AA19" s="7"/>
      <c r="AC19" s="6"/>
      <c r="AD19" s="29"/>
      <c r="AE19" s="7"/>
      <c r="AG19" s="6"/>
      <c r="AH19" s="29"/>
      <c r="AI19" s="7"/>
    </row>
    <row r="20" spans="2:35" ht="15.75" thickBot="1" x14ac:dyDescent="0.3">
      <c r="B20" t="s">
        <v>2</v>
      </c>
      <c r="E20" s="9">
        <f>SUM(E9:E18)</f>
        <v>9500</v>
      </c>
      <c r="F20" s="16">
        <f>SUM(F9:F18)</f>
        <v>2585.5099999999998</v>
      </c>
      <c r="G20" s="10">
        <f>SUM(G9:G18)</f>
        <v>6914.49</v>
      </c>
      <c r="H20" s="1"/>
      <c r="I20" s="9">
        <f>SUM(I9:I18)</f>
        <v>9500</v>
      </c>
      <c r="J20" s="16">
        <f>SUM(J9:J18)</f>
        <v>8375.7599999999984</v>
      </c>
      <c r="K20" s="10">
        <f>SUM(K9:K18)</f>
        <v>1124.24</v>
      </c>
      <c r="L20" s="1"/>
      <c r="M20" s="9">
        <f>SUM(M9:M18)</f>
        <v>9500</v>
      </c>
      <c r="N20" s="16">
        <f>SUM(N9:N18)</f>
        <v>10871.89</v>
      </c>
      <c r="O20" s="10">
        <f>SUM(O9:O18)</f>
        <v>-1371.8900000000003</v>
      </c>
      <c r="P20" s="1"/>
      <c r="Q20" s="9">
        <f>SUM(Q9:Q18)</f>
        <v>9500</v>
      </c>
      <c r="R20" s="16">
        <f>SUM(R9:R18)</f>
        <v>12000.01</v>
      </c>
      <c r="S20" s="10">
        <f>SUM(S9:S18)</f>
        <v>-2500.0100000000002</v>
      </c>
      <c r="U20" s="23">
        <f>SUM(V9:V18)</f>
        <v>13800.01</v>
      </c>
      <c r="V20" s="2"/>
      <c r="X20">
        <f>SUM(X9:X18)</f>
        <v>11600.38</v>
      </c>
      <c r="Y20" s="9">
        <f>SUM(Y9:Y18)</f>
        <v>9500</v>
      </c>
      <c r="Z20" s="30">
        <f>SUM(Z9:Z18)</f>
        <v>11600.38</v>
      </c>
      <c r="AA20" s="33">
        <f>SUM(AA9:AA18)</f>
        <v>-2100.3799999999992</v>
      </c>
      <c r="AC20" s="9">
        <f>SUM(AC9:AC18)</f>
        <v>15650</v>
      </c>
      <c r="AD20" s="30">
        <f>SUM(AD9:AD18)</f>
        <v>12525.2</v>
      </c>
      <c r="AE20" s="10">
        <f>SUM(AE9:AE18)</f>
        <v>3124.7999999999997</v>
      </c>
      <c r="AG20" s="9">
        <f>SUM(AG9:AG18)</f>
        <v>15650</v>
      </c>
      <c r="AH20" s="30">
        <f>SUM(AH9:AH18)</f>
        <v>0</v>
      </c>
      <c r="AI20" s="10">
        <f>SUM(AI9:AI18)</f>
        <v>15650</v>
      </c>
    </row>
    <row r="21" spans="2:35" x14ac:dyDescent="0.25">
      <c r="F21" s="1"/>
      <c r="G21" s="1"/>
      <c r="H21" s="1"/>
      <c r="J21" s="1"/>
      <c r="K21" s="1"/>
      <c r="L21" s="1"/>
      <c r="N21" s="1"/>
      <c r="O21" s="1"/>
      <c r="P21" s="1"/>
      <c r="Q21" s="1"/>
      <c r="R21" s="1"/>
      <c r="Y21" s="1"/>
      <c r="Z21" s="1"/>
      <c r="AC21" s="1"/>
      <c r="AD21" s="1"/>
      <c r="AG21" s="1"/>
      <c r="AH21" s="1"/>
    </row>
    <row r="22" spans="2:35" x14ac:dyDescent="0.25">
      <c r="B22" t="s">
        <v>6</v>
      </c>
      <c r="F22" s="1">
        <f>F5-F20</f>
        <v>5805.51</v>
      </c>
      <c r="G22" s="1"/>
      <c r="H22" s="1"/>
      <c r="J22" s="1">
        <f>J5-J20</f>
        <v>5685.7900000000009</v>
      </c>
      <c r="K22" s="1"/>
      <c r="L22" s="1"/>
      <c r="N22" s="1">
        <f>N5-N20</f>
        <v>1178.1100000000006</v>
      </c>
      <c r="O22" s="1"/>
      <c r="P22" s="1"/>
      <c r="Q22" s="1"/>
      <c r="R22" s="1">
        <f>R5-R20</f>
        <v>149.98999999999978</v>
      </c>
      <c r="U22" s="1">
        <f>U5-U20</f>
        <v>-1650.0100000000002</v>
      </c>
      <c r="Y22" s="1"/>
      <c r="Z22" s="1">
        <f>Z5-Z20</f>
        <v>4277.2800000000007</v>
      </c>
      <c r="AC22" s="1"/>
      <c r="AD22" s="1">
        <f>AD5-AD20</f>
        <v>3724.7999999999993</v>
      </c>
      <c r="AG22" s="1"/>
      <c r="AH22" s="1">
        <f>AH5-AH20</f>
        <v>0</v>
      </c>
    </row>
    <row r="23" spans="2:35" x14ac:dyDescent="0.25">
      <c r="F23" s="1"/>
      <c r="G23" s="1"/>
      <c r="H23" s="1"/>
      <c r="J23" s="1"/>
      <c r="K23" s="1"/>
      <c r="L23" s="1"/>
      <c r="N23" s="1"/>
      <c r="O23" s="1"/>
      <c r="P23" s="1"/>
      <c r="Q23" s="1"/>
      <c r="R23" s="1"/>
      <c r="Y23" s="1"/>
      <c r="Z23" s="1"/>
      <c r="AC23" s="1"/>
      <c r="AD23" s="1"/>
      <c r="AG23" s="1"/>
      <c r="AH23" s="1"/>
    </row>
    <row r="24" spans="2:35" x14ac:dyDescent="0.25">
      <c r="B24" t="s">
        <v>13</v>
      </c>
      <c r="F24" s="17">
        <f>F22</f>
        <v>5805.51</v>
      </c>
      <c r="G24" s="1"/>
      <c r="H24" s="1"/>
      <c r="J24" s="17">
        <f>F24+J22</f>
        <v>11491.300000000001</v>
      </c>
      <c r="K24" s="1"/>
      <c r="L24" s="1"/>
      <c r="N24" s="17">
        <f>J24+N22</f>
        <v>12669.410000000002</v>
      </c>
      <c r="O24" s="1"/>
      <c r="P24" s="1"/>
      <c r="Q24" s="1"/>
      <c r="R24" s="17">
        <f>N24+R22</f>
        <v>12819.400000000001</v>
      </c>
      <c r="U24" s="2">
        <v>725</v>
      </c>
      <c r="V24" t="s">
        <v>19</v>
      </c>
      <c r="X24">
        <f>X5-X20</f>
        <v>4277.2800000000007</v>
      </c>
      <c r="Y24" s="1"/>
      <c r="Z24" s="17">
        <f>Z5-Z20</f>
        <v>4277.2800000000007</v>
      </c>
      <c r="AC24" s="1"/>
      <c r="AD24" s="17">
        <f>AD5-AD20</f>
        <v>3724.7999999999993</v>
      </c>
      <c r="AG24" s="1"/>
      <c r="AH24" s="17">
        <f>AH5-AH20</f>
        <v>0</v>
      </c>
    </row>
    <row r="25" spans="2:35" x14ac:dyDescent="0.25">
      <c r="U25" s="2"/>
      <c r="X25">
        <f>X24/25</f>
        <v>171.09120000000001</v>
      </c>
    </row>
    <row r="26" spans="2:35" x14ac:dyDescent="0.25">
      <c r="N26" s="2">
        <f>N20+1400</f>
        <v>12271.89</v>
      </c>
    </row>
    <row r="27" spans="2:35" x14ac:dyDescent="0.25">
      <c r="N27" s="2"/>
    </row>
  </sheetData>
  <mergeCells count="7">
    <mergeCell ref="AG2:AI2"/>
    <mergeCell ref="AC2:AE2"/>
    <mergeCell ref="E2:G2"/>
    <mergeCell ref="I2:K2"/>
    <mergeCell ref="M2:O2"/>
    <mergeCell ref="Q2:S2"/>
    <mergeCell ref="Y2:AA2"/>
  </mergeCells>
  <pageMargins left="0.7" right="0.7" top="0.75" bottom="0.75" header="0.3" footer="0.3"/>
  <pageSetup scale="35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1908-F1C3-4D05-AD3C-E65C2C39B463}">
  <sheetPr>
    <pageSetUpPr fitToPage="1"/>
  </sheetPr>
  <dimension ref="A1:G2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26" sqref="E26:F26"/>
    </sheetView>
  </sheetViews>
  <sheetFormatPr defaultRowHeight="15" x14ac:dyDescent="0.25"/>
  <cols>
    <col min="2" max="2" width="16.140625" customWidth="1"/>
    <col min="4" max="4" width="8.85546875" customWidth="1"/>
    <col min="5" max="5" width="10.5703125" customWidth="1"/>
    <col min="6" max="6" width="9.5703125" customWidth="1"/>
    <col min="7" max="7" width="10.42578125" customWidth="1"/>
  </cols>
  <sheetData>
    <row r="1" spans="1:7" x14ac:dyDescent="0.25">
      <c r="A1" t="s">
        <v>0</v>
      </c>
    </row>
    <row r="2" spans="1:7" x14ac:dyDescent="0.25">
      <c r="E2" s="45">
        <v>2015</v>
      </c>
      <c r="F2" s="45"/>
      <c r="G2" s="45"/>
    </row>
    <row r="3" spans="1:7" x14ac:dyDescent="0.25">
      <c r="E3" s="3" t="s">
        <v>8</v>
      </c>
      <c r="F3" s="3" t="s">
        <v>16</v>
      </c>
      <c r="G3" s="3" t="s">
        <v>17</v>
      </c>
    </row>
    <row r="4" spans="1:7" x14ac:dyDescent="0.25">
      <c r="A4" t="s">
        <v>1</v>
      </c>
    </row>
    <row r="5" spans="1:7" x14ac:dyDescent="0.25">
      <c r="B5" t="s">
        <v>20</v>
      </c>
      <c r="E5" s="35">
        <v>12500</v>
      </c>
      <c r="F5" s="22">
        <v>8391.02</v>
      </c>
      <c r="G5" s="35">
        <f>F5-E5</f>
        <v>-4108.9799999999996</v>
      </c>
    </row>
    <row r="6" spans="1:7" x14ac:dyDescent="0.25">
      <c r="E6" s="36"/>
      <c r="F6" s="22"/>
      <c r="G6" s="35"/>
    </row>
    <row r="7" spans="1:7" x14ac:dyDescent="0.25">
      <c r="E7" s="36"/>
      <c r="F7" s="22"/>
      <c r="G7" s="35"/>
    </row>
    <row r="8" spans="1:7" x14ac:dyDescent="0.25">
      <c r="A8" t="s">
        <v>3</v>
      </c>
      <c r="E8" s="36"/>
      <c r="F8" s="22"/>
      <c r="G8" s="35"/>
    </row>
    <row r="9" spans="1:7" x14ac:dyDescent="0.25">
      <c r="B9" t="s">
        <v>23</v>
      </c>
      <c r="E9" s="35">
        <f>2400+2750</f>
        <v>5150</v>
      </c>
      <c r="F9" s="22">
        <f>3431.67+1850</f>
        <v>5281.67</v>
      </c>
      <c r="G9" s="37">
        <f>E9-F9</f>
        <v>-131.67000000000007</v>
      </c>
    </row>
    <row r="10" spans="1:7" x14ac:dyDescent="0.25">
      <c r="B10" t="s">
        <v>14</v>
      </c>
      <c r="E10" s="35">
        <v>2500</v>
      </c>
      <c r="F10" s="22">
        <v>46.75</v>
      </c>
      <c r="G10" s="35">
        <f t="shared" ref="G10:G18" si="0">E10-F10</f>
        <v>2453.25</v>
      </c>
    </row>
    <row r="11" spans="1:7" x14ac:dyDescent="0.25">
      <c r="B11" t="s">
        <v>9</v>
      </c>
      <c r="E11" s="35">
        <v>0</v>
      </c>
      <c r="F11" s="22"/>
      <c r="G11" s="35">
        <f t="shared" si="0"/>
        <v>0</v>
      </c>
    </row>
    <row r="12" spans="1:7" x14ac:dyDescent="0.25">
      <c r="B12" t="s">
        <v>5</v>
      </c>
      <c r="E12" s="35">
        <v>300</v>
      </c>
      <c r="F12" s="22">
        <v>329.81</v>
      </c>
      <c r="G12" s="37">
        <f t="shared" si="0"/>
        <v>-29.810000000000002</v>
      </c>
    </row>
    <row r="13" spans="1:7" x14ac:dyDescent="0.25">
      <c r="B13" t="s">
        <v>15</v>
      </c>
      <c r="E13" s="35">
        <v>50</v>
      </c>
      <c r="F13" s="22">
        <f>27.95+20</f>
        <v>47.95</v>
      </c>
      <c r="G13" s="35">
        <f t="shared" si="0"/>
        <v>2.0499999999999972</v>
      </c>
    </row>
    <row r="14" spans="1:7" x14ac:dyDescent="0.25">
      <c r="B14" t="s">
        <v>10</v>
      </c>
      <c r="E14" s="35">
        <v>0</v>
      </c>
      <c r="F14" s="22"/>
      <c r="G14" s="35">
        <f t="shared" si="0"/>
        <v>0</v>
      </c>
    </row>
    <row r="15" spans="1:7" x14ac:dyDescent="0.25">
      <c r="B15" t="s">
        <v>7</v>
      </c>
      <c r="E15" s="35">
        <v>0</v>
      </c>
      <c r="F15" s="22">
        <v>0</v>
      </c>
      <c r="G15" s="35">
        <f t="shared" si="0"/>
        <v>0</v>
      </c>
    </row>
    <row r="16" spans="1:7" x14ac:dyDescent="0.25">
      <c r="B16" t="s">
        <v>12</v>
      </c>
      <c r="E16" s="35">
        <v>0</v>
      </c>
      <c r="F16" s="22"/>
      <c r="G16" s="35">
        <f t="shared" si="0"/>
        <v>0</v>
      </c>
    </row>
    <row r="17" spans="2:7" x14ac:dyDescent="0.25">
      <c r="B17" t="s">
        <v>4</v>
      </c>
      <c r="E17" s="35">
        <v>500</v>
      </c>
      <c r="F17" s="22">
        <v>311</v>
      </c>
      <c r="G17" s="35">
        <f t="shared" si="0"/>
        <v>189</v>
      </c>
    </row>
    <row r="18" spans="2:7" x14ac:dyDescent="0.25">
      <c r="B18" t="s">
        <v>11</v>
      </c>
      <c r="E18" s="35">
        <v>1000</v>
      </c>
      <c r="F18" s="22"/>
      <c r="G18" s="35">
        <f t="shared" si="0"/>
        <v>1000</v>
      </c>
    </row>
    <row r="19" spans="2:7" x14ac:dyDescent="0.25">
      <c r="E19" s="35"/>
      <c r="F19" s="22"/>
      <c r="G19" s="35"/>
    </row>
    <row r="20" spans="2:7" x14ac:dyDescent="0.25">
      <c r="B20" t="s">
        <v>2</v>
      </c>
      <c r="E20" s="35">
        <f>SUM(E9:E18)</f>
        <v>9500</v>
      </c>
      <c r="F20" s="22">
        <f>SUM(F9:F18)</f>
        <v>6017.18</v>
      </c>
      <c r="G20" s="35">
        <f>SUM(G9:G18)</f>
        <v>3482.82</v>
      </c>
    </row>
    <row r="21" spans="2:7" hidden="1" x14ac:dyDescent="0.25">
      <c r="F21" s="1"/>
      <c r="G21" s="1"/>
    </row>
    <row r="22" spans="2:7" hidden="1" x14ac:dyDescent="0.25">
      <c r="B22" t="s">
        <v>6</v>
      </c>
      <c r="F22" s="1">
        <f>F5-F20</f>
        <v>2373.84</v>
      </c>
      <c r="G22" s="1"/>
    </row>
    <row r="23" spans="2:7" hidden="1" x14ac:dyDescent="0.25">
      <c r="F23" s="1"/>
      <c r="G23" s="1"/>
    </row>
    <row r="24" spans="2:7" hidden="1" x14ac:dyDescent="0.25">
      <c r="B24" t="s">
        <v>13</v>
      </c>
      <c r="F24" s="17">
        <f>F22</f>
        <v>2373.84</v>
      </c>
      <c r="G24" s="1"/>
    </row>
    <row r="26" spans="2:7" x14ac:dyDescent="0.25">
      <c r="E26" s="2"/>
      <c r="F26" s="2"/>
    </row>
  </sheetData>
  <mergeCells count="1">
    <mergeCell ref="E2:G2"/>
  </mergeCells>
  <pageMargins left="0.7" right="0.7" top="0.75" bottom="0.75" header="0.3" footer="0.3"/>
  <pageSetup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8F0A-FDEA-447D-B191-D1AA142AFBF2}">
  <sheetPr>
    <pageSetUpPr fitToPage="1"/>
  </sheetPr>
  <dimension ref="A1:G2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" sqref="D1:D1048576"/>
    </sheetView>
  </sheetViews>
  <sheetFormatPr defaultRowHeight="15" x14ac:dyDescent="0.25"/>
  <cols>
    <col min="2" max="2" width="16.140625" customWidth="1"/>
    <col min="5" max="7" width="10.5703125" customWidth="1"/>
  </cols>
  <sheetData>
    <row r="1" spans="1:7" x14ac:dyDescent="0.25">
      <c r="A1" t="s">
        <v>0</v>
      </c>
    </row>
    <row r="2" spans="1:7" x14ac:dyDescent="0.25">
      <c r="E2" s="45">
        <v>2016</v>
      </c>
      <c r="F2" s="45"/>
      <c r="G2" s="45"/>
    </row>
    <row r="3" spans="1:7" x14ac:dyDescent="0.25">
      <c r="E3" s="3" t="s">
        <v>8</v>
      </c>
      <c r="F3" s="3" t="s">
        <v>16</v>
      </c>
      <c r="G3" s="3" t="s">
        <v>17</v>
      </c>
    </row>
    <row r="4" spans="1:7" x14ac:dyDescent="0.25">
      <c r="A4" t="s">
        <v>1</v>
      </c>
    </row>
    <row r="5" spans="1:7" x14ac:dyDescent="0.25">
      <c r="B5" t="s">
        <v>20</v>
      </c>
      <c r="E5" s="35">
        <v>14000</v>
      </c>
      <c r="F5" s="22">
        <v>14061.55</v>
      </c>
      <c r="G5" s="35">
        <f>F5-E5</f>
        <v>61.549999999999272</v>
      </c>
    </row>
    <row r="6" spans="1:7" x14ac:dyDescent="0.25">
      <c r="E6" s="36"/>
      <c r="F6" s="22"/>
      <c r="G6" s="35"/>
    </row>
    <row r="7" spans="1:7" x14ac:dyDescent="0.25">
      <c r="E7" s="36"/>
      <c r="F7" s="22"/>
      <c r="G7" s="35"/>
    </row>
    <row r="8" spans="1:7" x14ac:dyDescent="0.25">
      <c r="A8" t="s">
        <v>3</v>
      </c>
      <c r="E8" s="36"/>
      <c r="F8" s="22"/>
      <c r="G8" s="35"/>
    </row>
    <row r="9" spans="1:7" x14ac:dyDescent="0.25">
      <c r="B9" t="s">
        <v>23</v>
      </c>
      <c r="E9" s="35">
        <v>9000</v>
      </c>
      <c r="F9" s="22">
        <f>5825.05+3485</f>
        <v>9310.0499999999993</v>
      </c>
      <c r="G9" s="37">
        <f>E9-F9</f>
        <v>-310.04999999999927</v>
      </c>
    </row>
    <row r="10" spans="1:7" x14ac:dyDescent="0.25">
      <c r="B10" t="s">
        <v>14</v>
      </c>
      <c r="E10" s="35">
        <v>2500</v>
      </c>
      <c r="F10" s="22">
        <v>1835.16</v>
      </c>
      <c r="G10" s="35">
        <f t="shared" ref="G10:G18" si="0">E10-F10</f>
        <v>664.83999999999992</v>
      </c>
    </row>
    <row r="11" spans="1:7" x14ac:dyDescent="0.25">
      <c r="B11" t="s">
        <v>9</v>
      </c>
      <c r="E11" s="35">
        <v>0</v>
      </c>
      <c r="F11" s="22"/>
      <c r="G11" s="35">
        <f t="shared" si="0"/>
        <v>0</v>
      </c>
    </row>
    <row r="12" spans="1:7" x14ac:dyDescent="0.25">
      <c r="B12" t="s">
        <v>5</v>
      </c>
      <c r="E12" s="35">
        <v>500</v>
      </c>
      <c r="F12" s="22">
        <v>550.65</v>
      </c>
      <c r="G12" s="37">
        <f t="shared" si="0"/>
        <v>-50.649999999999977</v>
      </c>
    </row>
    <row r="13" spans="1:7" x14ac:dyDescent="0.25">
      <c r="B13" t="s">
        <v>15</v>
      </c>
      <c r="E13" s="35">
        <v>50</v>
      </c>
      <c r="F13" s="22">
        <f>39.95+20</f>
        <v>59.95</v>
      </c>
      <c r="G13" s="37">
        <f t="shared" si="0"/>
        <v>-9.9500000000000028</v>
      </c>
    </row>
    <row r="14" spans="1:7" x14ac:dyDescent="0.25">
      <c r="B14" t="s">
        <v>10</v>
      </c>
      <c r="E14" s="35">
        <v>0</v>
      </c>
      <c r="F14" s="22"/>
      <c r="G14" s="35">
        <f t="shared" si="0"/>
        <v>0</v>
      </c>
    </row>
    <row r="15" spans="1:7" x14ac:dyDescent="0.25">
      <c r="B15" t="s">
        <v>7</v>
      </c>
      <c r="E15" s="35">
        <v>0</v>
      </c>
      <c r="F15" s="22">
        <v>525</v>
      </c>
      <c r="G15" s="37">
        <f t="shared" si="0"/>
        <v>-525</v>
      </c>
    </row>
    <row r="16" spans="1:7" x14ac:dyDescent="0.25">
      <c r="B16" t="s">
        <v>12</v>
      </c>
      <c r="E16" s="35">
        <v>0</v>
      </c>
      <c r="F16" s="22"/>
      <c r="G16" s="35">
        <f t="shared" si="0"/>
        <v>0</v>
      </c>
    </row>
    <row r="17" spans="2:7" x14ac:dyDescent="0.25">
      <c r="B17" t="s">
        <v>4</v>
      </c>
      <c r="E17" s="35">
        <v>500</v>
      </c>
      <c r="F17" s="22">
        <v>595</v>
      </c>
      <c r="G17" s="37">
        <f t="shared" si="0"/>
        <v>-95</v>
      </c>
    </row>
    <row r="18" spans="2:7" x14ac:dyDescent="0.25">
      <c r="B18" t="s">
        <v>11</v>
      </c>
      <c r="E18" s="35">
        <v>1400</v>
      </c>
      <c r="F18" s="22"/>
      <c r="G18" s="35">
        <f t="shared" si="0"/>
        <v>1400</v>
      </c>
    </row>
    <row r="19" spans="2:7" x14ac:dyDescent="0.25">
      <c r="E19" s="35"/>
      <c r="F19" s="22"/>
      <c r="G19" s="35"/>
    </row>
    <row r="20" spans="2:7" x14ac:dyDescent="0.25">
      <c r="B20" t="s">
        <v>2</v>
      </c>
      <c r="E20" s="35">
        <f>SUM(E9:E18)</f>
        <v>13950</v>
      </c>
      <c r="F20" s="22">
        <f>SUM(F9:F18)</f>
        <v>12875.81</v>
      </c>
      <c r="G20" s="35">
        <f>SUM(G9:G18)</f>
        <v>1074.1900000000007</v>
      </c>
    </row>
    <row r="21" spans="2:7" hidden="1" x14ac:dyDescent="0.25">
      <c r="F21" s="1"/>
      <c r="G21" s="1"/>
    </row>
    <row r="22" spans="2:7" hidden="1" x14ac:dyDescent="0.25">
      <c r="B22" t="s">
        <v>6</v>
      </c>
      <c r="F22" s="1">
        <f>F5-F20</f>
        <v>1185.7399999999998</v>
      </c>
      <c r="G22" s="1"/>
    </row>
    <row r="23" spans="2:7" hidden="1" x14ac:dyDescent="0.25">
      <c r="F23" s="1"/>
      <c r="G23" s="1"/>
    </row>
    <row r="24" spans="2:7" hidden="1" x14ac:dyDescent="0.25">
      <c r="B24" t="s">
        <v>13</v>
      </c>
      <c r="F24" s="17" t="e">
        <f>#REF!+F22</f>
        <v>#REF!</v>
      </c>
      <c r="G24" s="1"/>
    </row>
    <row r="26" spans="2:7" x14ac:dyDescent="0.25">
      <c r="E26" s="2"/>
      <c r="F26" s="2"/>
    </row>
  </sheetData>
  <mergeCells count="1">
    <mergeCell ref="E2:G2"/>
  </mergeCells>
  <pageMargins left="0.7" right="0.7" top="0.75" bottom="0.75" header="0.3" footer="0.3"/>
  <pageSetup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1735-7E38-4F16-B103-F22408EE6572}">
  <sheetPr>
    <pageSetUpPr fitToPage="1"/>
  </sheetPr>
  <dimension ref="A1:G27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" sqref="D1:D1048576"/>
    </sheetView>
  </sheetViews>
  <sheetFormatPr defaultRowHeight="15" x14ac:dyDescent="0.25"/>
  <cols>
    <col min="2" max="2" width="16.140625" customWidth="1"/>
    <col min="5" max="7" width="10.5703125" customWidth="1"/>
  </cols>
  <sheetData>
    <row r="1" spans="1:7" x14ac:dyDescent="0.25">
      <c r="A1" t="s">
        <v>0</v>
      </c>
    </row>
    <row r="2" spans="1:7" x14ac:dyDescent="0.25">
      <c r="E2" s="45">
        <v>2017</v>
      </c>
      <c r="F2" s="45"/>
      <c r="G2" s="45"/>
    </row>
    <row r="3" spans="1:7" x14ac:dyDescent="0.25">
      <c r="E3" s="3" t="s">
        <v>8</v>
      </c>
      <c r="F3" s="3" t="s">
        <v>16</v>
      </c>
      <c r="G3" s="3" t="s">
        <v>17</v>
      </c>
    </row>
    <row r="4" spans="1:7" x14ac:dyDescent="0.25">
      <c r="A4" t="s">
        <v>1</v>
      </c>
    </row>
    <row r="5" spans="1:7" x14ac:dyDescent="0.25">
      <c r="B5" t="s">
        <v>20</v>
      </c>
      <c r="E5" s="35">
        <v>12500</v>
      </c>
      <c r="F5" s="22">
        <v>12050</v>
      </c>
      <c r="G5" s="35">
        <f>F5-E5</f>
        <v>-450</v>
      </c>
    </row>
    <row r="6" spans="1:7" x14ac:dyDescent="0.25">
      <c r="E6" s="36"/>
      <c r="F6" s="22"/>
      <c r="G6" s="35"/>
    </row>
    <row r="7" spans="1:7" x14ac:dyDescent="0.25">
      <c r="E7" s="36"/>
      <c r="F7" s="22"/>
      <c r="G7" s="35"/>
    </row>
    <row r="8" spans="1:7" x14ac:dyDescent="0.25">
      <c r="A8" t="s">
        <v>3</v>
      </c>
      <c r="E8" s="36"/>
      <c r="F8" s="22"/>
      <c r="G8" s="35"/>
    </row>
    <row r="9" spans="1:7" x14ac:dyDescent="0.25">
      <c r="B9" t="s">
        <v>23</v>
      </c>
      <c r="E9" s="35">
        <v>8000</v>
      </c>
      <c r="F9" s="22">
        <f>7917+1600</f>
        <v>9517</v>
      </c>
      <c r="G9" s="37">
        <f>E9-F9</f>
        <v>-1517</v>
      </c>
    </row>
    <row r="10" spans="1:7" x14ac:dyDescent="0.25">
      <c r="B10" t="s">
        <v>14</v>
      </c>
      <c r="E10" s="35">
        <v>2500</v>
      </c>
      <c r="F10" s="22">
        <v>4000.32</v>
      </c>
      <c r="G10" s="37">
        <f t="shared" ref="G10:G18" si="0">E10-F10</f>
        <v>-1500.3200000000002</v>
      </c>
    </row>
    <row r="11" spans="1:7" x14ac:dyDescent="0.25">
      <c r="B11" t="s">
        <v>9</v>
      </c>
      <c r="E11" s="35">
        <v>0</v>
      </c>
      <c r="F11" s="22"/>
      <c r="G11" s="35">
        <f t="shared" si="0"/>
        <v>0</v>
      </c>
    </row>
    <row r="12" spans="1:7" x14ac:dyDescent="0.25">
      <c r="B12" t="s">
        <v>5</v>
      </c>
      <c r="E12" s="35">
        <v>500</v>
      </c>
      <c r="F12" s="22">
        <v>638.57000000000005</v>
      </c>
      <c r="G12" s="37">
        <f t="shared" si="0"/>
        <v>-138.57000000000005</v>
      </c>
    </row>
    <row r="13" spans="1:7" x14ac:dyDescent="0.25">
      <c r="B13" t="s">
        <v>15</v>
      </c>
      <c r="E13" s="35">
        <v>0</v>
      </c>
      <c r="F13" s="22">
        <v>0</v>
      </c>
      <c r="G13" s="35">
        <f t="shared" si="0"/>
        <v>0</v>
      </c>
    </row>
    <row r="14" spans="1:7" x14ac:dyDescent="0.25">
      <c r="B14" t="s">
        <v>10</v>
      </c>
      <c r="E14" s="35">
        <v>0</v>
      </c>
      <c r="F14" s="22"/>
      <c r="G14" s="35">
        <f t="shared" si="0"/>
        <v>0</v>
      </c>
    </row>
    <row r="15" spans="1:7" x14ac:dyDescent="0.25">
      <c r="B15" t="s">
        <v>7</v>
      </c>
      <c r="E15" s="35">
        <v>0</v>
      </c>
      <c r="F15" s="22">
        <v>375</v>
      </c>
      <c r="G15" s="35">
        <f t="shared" si="0"/>
        <v>-375</v>
      </c>
    </row>
    <row r="16" spans="1:7" x14ac:dyDescent="0.25">
      <c r="B16" t="s">
        <v>12</v>
      </c>
      <c r="E16" s="35">
        <v>0</v>
      </c>
      <c r="F16" s="22"/>
      <c r="G16" s="35">
        <f t="shared" si="0"/>
        <v>0</v>
      </c>
    </row>
    <row r="17" spans="2:7" x14ac:dyDescent="0.25">
      <c r="B17" t="s">
        <v>4</v>
      </c>
      <c r="E17" s="35">
        <v>500</v>
      </c>
      <c r="F17" s="22">
        <v>596</v>
      </c>
      <c r="G17" s="35">
        <f t="shared" si="0"/>
        <v>-96</v>
      </c>
    </row>
    <row r="18" spans="2:7" x14ac:dyDescent="0.25">
      <c r="B18" t="s">
        <v>11</v>
      </c>
      <c r="E18" s="35">
        <v>1000</v>
      </c>
      <c r="F18" s="22"/>
      <c r="G18" s="35">
        <f t="shared" si="0"/>
        <v>1000</v>
      </c>
    </row>
    <row r="19" spans="2:7" x14ac:dyDescent="0.25">
      <c r="E19" s="35"/>
      <c r="F19" s="22"/>
      <c r="G19" s="35"/>
    </row>
    <row r="20" spans="2:7" x14ac:dyDescent="0.25">
      <c r="B20" t="s">
        <v>2</v>
      </c>
      <c r="E20" s="35">
        <f>SUM(E9:E18)</f>
        <v>12500</v>
      </c>
      <c r="F20" s="22">
        <f>SUM(F9:F18)</f>
        <v>15126.89</v>
      </c>
      <c r="G20" s="35">
        <f>SUM(G9:G18)</f>
        <v>-2626.8900000000003</v>
      </c>
    </row>
    <row r="21" spans="2:7" hidden="1" x14ac:dyDescent="0.25">
      <c r="F21" s="1"/>
      <c r="G21" s="1"/>
    </row>
    <row r="22" spans="2:7" hidden="1" x14ac:dyDescent="0.25">
      <c r="B22" t="s">
        <v>6</v>
      </c>
      <c r="F22" s="1">
        <f>F5-F20</f>
        <v>-3076.8899999999994</v>
      </c>
      <c r="G22" s="1"/>
    </row>
    <row r="23" spans="2:7" hidden="1" x14ac:dyDescent="0.25">
      <c r="F23" s="1"/>
      <c r="G23" s="1"/>
    </row>
    <row r="24" spans="2:7" hidden="1" x14ac:dyDescent="0.25">
      <c r="B24" t="s">
        <v>13</v>
      </c>
      <c r="F24" s="17" t="e">
        <f>#REF!+F22</f>
        <v>#REF!</v>
      </c>
      <c r="G24" s="1"/>
    </row>
    <row r="26" spans="2:7" x14ac:dyDescent="0.25">
      <c r="E26" s="2"/>
      <c r="F26" s="2"/>
    </row>
    <row r="27" spans="2:7" x14ac:dyDescent="0.25">
      <c r="F27" s="2"/>
    </row>
  </sheetData>
  <mergeCells count="1">
    <mergeCell ref="E2:G2"/>
  </mergeCells>
  <pageMargins left="0.7" right="0.7" top="0.75" bottom="0.75" header="0.3" footer="0.3"/>
  <pageSetup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9206-65B1-4981-8A24-39FD30D82AF5}">
  <sheetPr>
    <pageSetUpPr fitToPage="1"/>
  </sheetPr>
  <dimension ref="A1:G25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" sqref="D1:D1048576"/>
    </sheetView>
  </sheetViews>
  <sheetFormatPr defaultRowHeight="15" x14ac:dyDescent="0.25"/>
  <cols>
    <col min="2" max="2" width="16.140625" customWidth="1"/>
    <col min="5" max="6" width="10.5703125" customWidth="1"/>
    <col min="7" max="7" width="10.42578125" customWidth="1"/>
  </cols>
  <sheetData>
    <row r="1" spans="1:7" ht="15.75" thickBot="1" x14ac:dyDescent="0.3">
      <c r="A1" t="s">
        <v>0</v>
      </c>
    </row>
    <row r="2" spans="1:7" x14ac:dyDescent="0.25">
      <c r="E2" s="42">
        <v>2018</v>
      </c>
      <c r="F2" s="43"/>
      <c r="G2" s="44"/>
    </row>
    <row r="3" spans="1:7" x14ac:dyDescent="0.25">
      <c r="E3" s="19" t="s">
        <v>8</v>
      </c>
      <c r="F3" s="20" t="s">
        <v>16</v>
      </c>
      <c r="G3" s="21" t="s">
        <v>17</v>
      </c>
    </row>
    <row r="4" spans="1:7" ht="15.75" thickBot="1" x14ac:dyDescent="0.3">
      <c r="A4" t="s">
        <v>1</v>
      </c>
      <c r="E4" s="11"/>
      <c r="F4" s="13"/>
      <c r="G4" s="12"/>
    </row>
    <row r="5" spans="1:7" x14ac:dyDescent="0.25">
      <c r="B5" t="s">
        <v>20</v>
      </c>
      <c r="E5" s="4">
        <v>15000</v>
      </c>
      <c r="F5" s="14">
        <v>16050</v>
      </c>
      <c r="G5" s="5">
        <f>F5-E5</f>
        <v>1050</v>
      </c>
    </row>
    <row r="6" spans="1:7" x14ac:dyDescent="0.25">
      <c r="E6" s="6"/>
      <c r="F6" s="15"/>
      <c r="G6" s="7"/>
    </row>
    <row r="7" spans="1:7" x14ac:dyDescent="0.25">
      <c r="E7" s="6"/>
      <c r="F7" s="15"/>
      <c r="G7" s="7"/>
    </row>
    <row r="8" spans="1:7" x14ac:dyDescent="0.25">
      <c r="A8" t="s">
        <v>3</v>
      </c>
      <c r="E8" s="6"/>
      <c r="F8" s="15"/>
      <c r="G8" s="7"/>
    </row>
    <row r="9" spans="1:7" x14ac:dyDescent="0.25">
      <c r="B9" t="s">
        <v>23</v>
      </c>
      <c r="E9" s="6">
        <v>9250</v>
      </c>
      <c r="F9" s="15">
        <f>4385.04+7640</f>
        <v>12025.04</v>
      </c>
      <c r="G9" s="8">
        <f>E9-F9</f>
        <v>-2775.0400000000009</v>
      </c>
    </row>
    <row r="10" spans="1:7" x14ac:dyDescent="0.25">
      <c r="B10" t="s">
        <v>14</v>
      </c>
      <c r="E10" s="6">
        <v>3000</v>
      </c>
      <c r="F10" s="15">
        <v>3208.32</v>
      </c>
      <c r="G10" s="7">
        <f t="shared" ref="G10:G18" si="0">E10-F10</f>
        <v>-208.32000000000016</v>
      </c>
    </row>
    <row r="11" spans="1:7" x14ac:dyDescent="0.25">
      <c r="B11" t="s">
        <v>9</v>
      </c>
      <c r="E11" s="6">
        <v>0</v>
      </c>
      <c r="F11" s="15"/>
      <c r="G11" s="7">
        <f t="shared" si="0"/>
        <v>0</v>
      </c>
    </row>
    <row r="12" spans="1:7" x14ac:dyDescent="0.25">
      <c r="B12" t="s">
        <v>5</v>
      </c>
      <c r="E12" s="6">
        <v>500</v>
      </c>
      <c r="F12" s="15">
        <v>662.69</v>
      </c>
      <c r="G12" s="8">
        <f t="shared" si="0"/>
        <v>-162.69000000000005</v>
      </c>
    </row>
    <row r="13" spans="1:7" x14ac:dyDescent="0.25">
      <c r="B13" t="s">
        <v>15</v>
      </c>
      <c r="E13" s="6">
        <v>50</v>
      </c>
      <c r="F13" s="15">
        <f>20+24.98</f>
        <v>44.980000000000004</v>
      </c>
      <c r="G13" s="7">
        <f t="shared" si="0"/>
        <v>5.019999999999996</v>
      </c>
    </row>
    <row r="14" spans="1:7" x14ac:dyDescent="0.25">
      <c r="B14" t="s">
        <v>10</v>
      </c>
      <c r="E14" s="6"/>
      <c r="F14" s="15"/>
      <c r="G14" s="7">
        <f t="shared" si="0"/>
        <v>0</v>
      </c>
    </row>
    <row r="15" spans="1:7" x14ac:dyDescent="0.25">
      <c r="B15" t="s">
        <v>7</v>
      </c>
      <c r="E15" s="6"/>
      <c r="F15" s="15"/>
      <c r="G15" s="7">
        <f t="shared" si="0"/>
        <v>0</v>
      </c>
    </row>
    <row r="16" spans="1:7" x14ac:dyDescent="0.25">
      <c r="B16" t="s">
        <v>12</v>
      </c>
      <c r="E16" s="6"/>
      <c r="F16" s="15"/>
      <c r="G16" s="7">
        <f t="shared" si="0"/>
        <v>0</v>
      </c>
    </row>
    <row r="17" spans="2:7" x14ac:dyDescent="0.25">
      <c r="B17" t="s">
        <v>4</v>
      </c>
      <c r="E17" s="6">
        <v>600</v>
      </c>
      <c r="F17" s="15">
        <v>589</v>
      </c>
      <c r="G17" s="7">
        <f t="shared" si="0"/>
        <v>11</v>
      </c>
    </row>
    <row r="18" spans="2:7" x14ac:dyDescent="0.25">
      <c r="B18" t="s">
        <v>11</v>
      </c>
      <c r="E18" s="6">
        <v>1500</v>
      </c>
      <c r="F18" s="15"/>
      <c r="G18" s="7">
        <f t="shared" si="0"/>
        <v>1500</v>
      </c>
    </row>
    <row r="19" spans="2:7" x14ac:dyDescent="0.25">
      <c r="E19" s="6"/>
      <c r="F19" s="15"/>
      <c r="G19" s="7"/>
    </row>
    <row r="20" spans="2:7" ht="15.75" thickBot="1" x14ac:dyDescent="0.3">
      <c r="B20" t="s">
        <v>2</v>
      </c>
      <c r="E20" s="9">
        <f>SUM(E9:E18)</f>
        <v>14900</v>
      </c>
      <c r="F20" s="16">
        <f>SUM(F9:F18)</f>
        <v>16530.03</v>
      </c>
      <c r="G20" s="10">
        <f>SUM(G9:G18)</f>
        <v>-1630.0300000000011</v>
      </c>
    </row>
    <row r="21" spans="2:7" x14ac:dyDescent="0.25">
      <c r="E21" s="1"/>
      <c r="F21" s="1"/>
    </row>
    <row r="22" spans="2:7" hidden="1" x14ac:dyDescent="0.25">
      <c r="B22" t="s">
        <v>6</v>
      </c>
      <c r="E22" s="1"/>
      <c r="F22" s="1">
        <f>F5-F20</f>
        <v>-480.02999999999884</v>
      </c>
    </row>
    <row r="23" spans="2:7" hidden="1" x14ac:dyDescent="0.25">
      <c r="E23" s="1"/>
      <c r="F23" s="1"/>
    </row>
    <row r="24" spans="2:7" hidden="1" x14ac:dyDescent="0.25">
      <c r="B24" t="s">
        <v>13</v>
      </c>
      <c r="E24" s="1"/>
      <c r="F24" s="17" t="e">
        <f>#REF!+F22</f>
        <v>#REF!</v>
      </c>
    </row>
    <row r="25" spans="2:7" x14ac:dyDescent="0.25">
      <c r="E25" s="2"/>
      <c r="F25" s="2"/>
    </row>
  </sheetData>
  <mergeCells count="1">
    <mergeCell ref="E2:G2"/>
  </mergeCells>
  <pageMargins left="0.7" right="0.7" top="0.75" bottom="0.75" header="0.3" footer="0.3"/>
  <pageSetup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6144-EDC8-4FF5-AA62-85D85AD6E407}">
  <sheetPr>
    <pageSetUpPr fitToPage="1"/>
  </sheetPr>
  <dimension ref="A1:G2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" sqref="D1:D1048576"/>
    </sheetView>
  </sheetViews>
  <sheetFormatPr defaultRowHeight="15" x14ac:dyDescent="0.25"/>
  <cols>
    <col min="2" max="2" width="16.140625" customWidth="1"/>
    <col min="3" max="4" width="15.42578125" customWidth="1"/>
    <col min="5" max="5" width="10.140625" customWidth="1"/>
    <col min="6" max="6" width="10.28515625" customWidth="1"/>
    <col min="7" max="7" width="9.85546875" customWidth="1"/>
  </cols>
  <sheetData>
    <row r="1" spans="1:7" x14ac:dyDescent="0.25">
      <c r="A1" t="s">
        <v>0</v>
      </c>
    </row>
    <row r="2" spans="1:7" x14ac:dyDescent="0.25">
      <c r="E2" s="45">
        <v>2019</v>
      </c>
      <c r="F2" s="45"/>
      <c r="G2" s="45"/>
    </row>
    <row r="3" spans="1:7" x14ac:dyDescent="0.25">
      <c r="E3" s="3" t="s">
        <v>8</v>
      </c>
      <c r="F3" s="3" t="s">
        <v>16</v>
      </c>
      <c r="G3" s="3" t="s">
        <v>17</v>
      </c>
    </row>
    <row r="4" spans="1:7" x14ac:dyDescent="0.25">
      <c r="A4" t="s">
        <v>1</v>
      </c>
    </row>
    <row r="5" spans="1:7" x14ac:dyDescent="0.25">
      <c r="B5" t="s">
        <v>20</v>
      </c>
      <c r="E5" s="39">
        <v>15500</v>
      </c>
      <c r="F5" s="41">
        <v>15875</v>
      </c>
      <c r="G5" s="35">
        <f>F5-E5</f>
        <v>375</v>
      </c>
    </row>
    <row r="6" spans="1:7" x14ac:dyDescent="0.25">
      <c r="E6" s="39"/>
      <c r="F6" s="41"/>
      <c r="G6" s="35"/>
    </row>
    <row r="7" spans="1:7" x14ac:dyDescent="0.25">
      <c r="E7" s="39"/>
      <c r="F7" s="41"/>
      <c r="G7" s="35"/>
    </row>
    <row r="8" spans="1:7" x14ac:dyDescent="0.25">
      <c r="A8" t="s">
        <v>3</v>
      </c>
      <c r="E8" s="39"/>
      <c r="F8" s="41"/>
      <c r="G8" s="35"/>
    </row>
    <row r="9" spans="1:7" x14ac:dyDescent="0.25">
      <c r="B9" t="s">
        <v>23</v>
      </c>
      <c r="E9" s="39">
        <v>9500</v>
      </c>
      <c r="F9" s="41">
        <f>3691+7225</f>
        <v>10916</v>
      </c>
      <c r="G9" s="37">
        <f>E9-F9</f>
        <v>-1416</v>
      </c>
    </row>
    <row r="10" spans="1:7" x14ac:dyDescent="0.25">
      <c r="B10" t="s">
        <v>14</v>
      </c>
      <c r="E10" s="39">
        <v>3200</v>
      </c>
      <c r="F10" s="41">
        <v>3977.64</v>
      </c>
      <c r="G10" s="37">
        <f t="shared" ref="G10:G18" si="0">E10-F10</f>
        <v>-777.63999999999987</v>
      </c>
    </row>
    <row r="11" spans="1:7" x14ac:dyDescent="0.25">
      <c r="B11" t="s">
        <v>9</v>
      </c>
      <c r="E11" s="39">
        <v>0</v>
      </c>
      <c r="F11" s="41"/>
      <c r="G11" s="35">
        <f t="shared" si="0"/>
        <v>0</v>
      </c>
    </row>
    <row r="12" spans="1:7" x14ac:dyDescent="0.25">
      <c r="B12" t="s">
        <v>5</v>
      </c>
      <c r="E12" s="39">
        <v>600</v>
      </c>
      <c r="F12" s="41">
        <v>585.82000000000005</v>
      </c>
      <c r="G12" s="35">
        <f t="shared" si="0"/>
        <v>14.17999999999995</v>
      </c>
    </row>
    <row r="13" spans="1:7" x14ac:dyDescent="0.25">
      <c r="B13" t="s">
        <v>15</v>
      </c>
      <c r="E13" s="39"/>
      <c r="F13" s="41">
        <f>20</f>
        <v>20</v>
      </c>
      <c r="G13" s="37">
        <f t="shared" si="0"/>
        <v>-20</v>
      </c>
    </row>
    <row r="14" spans="1:7" x14ac:dyDescent="0.25">
      <c r="B14" t="s">
        <v>10</v>
      </c>
      <c r="E14" s="39"/>
      <c r="F14" s="41"/>
      <c r="G14" s="35">
        <f t="shared" si="0"/>
        <v>0</v>
      </c>
    </row>
    <row r="15" spans="1:7" x14ac:dyDescent="0.25">
      <c r="B15" t="s">
        <v>7</v>
      </c>
      <c r="E15" s="39"/>
      <c r="F15" s="41"/>
      <c r="G15" s="35">
        <f t="shared" si="0"/>
        <v>0</v>
      </c>
    </row>
    <row r="16" spans="1:7" x14ac:dyDescent="0.25">
      <c r="B16" t="s">
        <v>12</v>
      </c>
      <c r="E16" s="39"/>
      <c r="F16" s="41"/>
      <c r="G16" s="35">
        <f t="shared" si="0"/>
        <v>0</v>
      </c>
    </row>
    <row r="17" spans="2:7" x14ac:dyDescent="0.25">
      <c r="B17" t="s">
        <v>4</v>
      </c>
      <c r="E17" s="39">
        <v>600</v>
      </c>
      <c r="F17" s="41">
        <v>595</v>
      </c>
      <c r="G17" s="35">
        <f t="shared" si="0"/>
        <v>5</v>
      </c>
    </row>
    <row r="18" spans="2:7" x14ac:dyDescent="0.25">
      <c r="B18" t="s">
        <v>11</v>
      </c>
      <c r="E18" s="39">
        <v>1500</v>
      </c>
      <c r="F18" s="41"/>
      <c r="G18" s="35">
        <f t="shared" si="0"/>
        <v>1500</v>
      </c>
    </row>
    <row r="19" spans="2:7" x14ac:dyDescent="0.25">
      <c r="E19" s="39"/>
      <c r="F19" s="41"/>
      <c r="G19" s="35"/>
    </row>
    <row r="20" spans="2:7" x14ac:dyDescent="0.25">
      <c r="B20" t="s">
        <v>2</v>
      </c>
      <c r="E20" s="39">
        <f>SUM(E9:E18)</f>
        <v>15400</v>
      </c>
      <c r="F20" s="41">
        <f>SUM(F9:F18)</f>
        <v>16094.46</v>
      </c>
      <c r="G20" s="37">
        <f>SUM(G9:G18)</f>
        <v>-694.46</v>
      </c>
    </row>
    <row r="21" spans="2:7" hidden="1" x14ac:dyDescent="0.25">
      <c r="E21" s="1"/>
      <c r="F21" s="1"/>
    </row>
    <row r="22" spans="2:7" hidden="1" x14ac:dyDescent="0.25">
      <c r="B22" t="s">
        <v>6</v>
      </c>
      <c r="E22" s="1"/>
      <c r="F22" s="1">
        <f>F5-F20</f>
        <v>-219.45999999999913</v>
      </c>
    </row>
    <row r="23" spans="2:7" hidden="1" x14ac:dyDescent="0.25">
      <c r="E23" s="1"/>
      <c r="F23" s="1"/>
    </row>
    <row r="24" spans="2:7" hidden="1" x14ac:dyDescent="0.25">
      <c r="B24" t="s">
        <v>13</v>
      </c>
      <c r="E24" s="1"/>
      <c r="F24" s="17">
        <f>F5-F20</f>
        <v>-219.45999999999913</v>
      </c>
    </row>
    <row r="26" spans="2:7" x14ac:dyDescent="0.25">
      <c r="E26" s="2"/>
      <c r="F26" s="2"/>
    </row>
  </sheetData>
  <mergeCells count="1">
    <mergeCell ref="E2:G2"/>
  </mergeCells>
  <pageMargins left="0.7" right="0.7" top="0.75" bottom="0.75" header="0.3" footer="0.3"/>
  <pageSetup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5D51-3AEF-4323-AE84-50F08B75A39C}">
  <sheetPr>
    <pageSetUpPr fitToPage="1"/>
  </sheetPr>
  <dimension ref="A1:G2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" sqref="D1:D1048576"/>
    </sheetView>
  </sheetViews>
  <sheetFormatPr defaultRowHeight="15" x14ac:dyDescent="0.25"/>
  <cols>
    <col min="2" max="2" width="19.85546875" customWidth="1"/>
    <col min="5" max="5" width="10.140625" customWidth="1"/>
    <col min="6" max="6" width="10.28515625" customWidth="1"/>
    <col min="7" max="7" width="9.85546875" customWidth="1"/>
  </cols>
  <sheetData>
    <row r="1" spans="1:7" x14ac:dyDescent="0.25">
      <c r="A1" t="s">
        <v>0</v>
      </c>
    </row>
    <row r="2" spans="1:7" x14ac:dyDescent="0.25">
      <c r="E2" s="45">
        <v>2020</v>
      </c>
      <c r="F2" s="45"/>
      <c r="G2" s="45"/>
    </row>
    <row r="3" spans="1:7" x14ac:dyDescent="0.25">
      <c r="E3" s="3" t="s">
        <v>8</v>
      </c>
      <c r="F3" s="3" t="s">
        <v>16</v>
      </c>
      <c r="G3" s="3" t="s">
        <v>17</v>
      </c>
    </row>
    <row r="4" spans="1:7" x14ac:dyDescent="0.25">
      <c r="A4" t="s">
        <v>1</v>
      </c>
    </row>
    <row r="5" spans="1:7" x14ac:dyDescent="0.25">
      <c r="B5" t="s">
        <v>20</v>
      </c>
      <c r="E5" s="39">
        <v>16250</v>
      </c>
      <c r="F5" s="40">
        <f>15650+600</f>
        <v>16250</v>
      </c>
      <c r="G5" s="35">
        <f>F5-E5</f>
        <v>0</v>
      </c>
    </row>
    <row r="6" spans="1:7" x14ac:dyDescent="0.25">
      <c r="E6" s="35"/>
      <c r="F6" s="22"/>
      <c r="G6" s="35"/>
    </row>
    <row r="7" spans="1:7" x14ac:dyDescent="0.25">
      <c r="E7" s="35"/>
      <c r="F7" s="22"/>
      <c r="G7" s="35"/>
    </row>
    <row r="8" spans="1:7" x14ac:dyDescent="0.25">
      <c r="A8" t="s">
        <v>3</v>
      </c>
      <c r="E8" s="35"/>
      <c r="F8" s="22"/>
      <c r="G8" s="35"/>
    </row>
    <row r="9" spans="1:7" x14ac:dyDescent="0.25">
      <c r="B9" t="s">
        <v>23</v>
      </c>
      <c r="E9" s="35">
        <v>9750</v>
      </c>
      <c r="F9" s="41">
        <f>3918.3+4113.25</f>
        <v>8031.55</v>
      </c>
      <c r="G9" s="35">
        <f>E9-F9</f>
        <v>1718.4499999999998</v>
      </c>
    </row>
    <row r="10" spans="1:7" x14ac:dyDescent="0.25">
      <c r="B10" t="s">
        <v>14</v>
      </c>
      <c r="E10" s="35">
        <v>3500</v>
      </c>
      <c r="F10" s="41">
        <v>3271.32</v>
      </c>
      <c r="G10" s="35">
        <f t="shared" ref="G10:G18" si="0">E10-F10</f>
        <v>228.67999999999984</v>
      </c>
    </row>
    <row r="11" spans="1:7" x14ac:dyDescent="0.25">
      <c r="B11" t="s">
        <v>9</v>
      </c>
      <c r="E11" s="35">
        <v>0</v>
      </c>
      <c r="F11" s="38"/>
      <c r="G11" s="35">
        <f t="shared" si="0"/>
        <v>0</v>
      </c>
    </row>
    <row r="12" spans="1:7" x14ac:dyDescent="0.25">
      <c r="B12" t="s">
        <v>5</v>
      </c>
      <c r="E12" s="35">
        <v>600</v>
      </c>
      <c r="F12" s="41">
        <v>645.84</v>
      </c>
      <c r="G12" s="37">
        <f t="shared" si="0"/>
        <v>-45.840000000000032</v>
      </c>
    </row>
    <row r="13" spans="1:7" x14ac:dyDescent="0.25">
      <c r="B13" t="s">
        <v>15</v>
      </c>
      <c r="E13" s="35">
        <v>50</v>
      </c>
      <c r="F13" s="41">
        <f>20</f>
        <v>20</v>
      </c>
      <c r="G13" s="37">
        <f t="shared" si="0"/>
        <v>30</v>
      </c>
    </row>
    <row r="14" spans="1:7" x14ac:dyDescent="0.25">
      <c r="B14" t="s">
        <v>10</v>
      </c>
      <c r="E14" s="35"/>
      <c r="F14" s="38"/>
      <c r="G14" s="35">
        <f t="shared" si="0"/>
        <v>0</v>
      </c>
    </row>
    <row r="15" spans="1:7" x14ac:dyDescent="0.25">
      <c r="B15" t="s">
        <v>7</v>
      </c>
      <c r="E15" s="35"/>
      <c r="F15" s="38"/>
      <c r="G15" s="35">
        <f t="shared" si="0"/>
        <v>0</v>
      </c>
    </row>
    <row r="16" spans="1:7" x14ac:dyDescent="0.25">
      <c r="B16" t="s">
        <v>12</v>
      </c>
      <c r="E16" s="35"/>
      <c r="F16" s="38"/>
      <c r="G16" s="35">
        <f t="shared" si="0"/>
        <v>0</v>
      </c>
    </row>
    <row r="17" spans="2:7" x14ac:dyDescent="0.25">
      <c r="B17" t="s">
        <v>4</v>
      </c>
      <c r="E17" s="35">
        <v>600</v>
      </c>
      <c r="F17" s="41">
        <v>592</v>
      </c>
      <c r="G17" s="35">
        <f t="shared" si="0"/>
        <v>8</v>
      </c>
    </row>
    <row r="18" spans="2:7" x14ac:dyDescent="0.25">
      <c r="B18" t="s">
        <v>11</v>
      </c>
      <c r="E18" s="35">
        <v>1600</v>
      </c>
      <c r="F18" s="38"/>
      <c r="G18" s="35">
        <f t="shared" si="0"/>
        <v>1600</v>
      </c>
    </row>
    <row r="19" spans="2:7" x14ac:dyDescent="0.25">
      <c r="E19" s="35"/>
      <c r="F19" s="38"/>
      <c r="G19" s="35"/>
    </row>
    <row r="20" spans="2:7" x14ac:dyDescent="0.25">
      <c r="B20" t="s">
        <v>2</v>
      </c>
      <c r="E20" s="35">
        <f>SUM(E9:E18)</f>
        <v>16100</v>
      </c>
      <c r="F20" s="41">
        <f>SUM(F9:F18)</f>
        <v>12560.710000000001</v>
      </c>
      <c r="G20" s="35">
        <f>SUM(G9:G18)</f>
        <v>3539.2899999999995</v>
      </c>
    </row>
    <row r="21" spans="2:7" hidden="1" x14ac:dyDescent="0.25">
      <c r="E21" s="1"/>
      <c r="F21" s="1"/>
    </row>
    <row r="22" spans="2:7" hidden="1" x14ac:dyDescent="0.25">
      <c r="B22" t="s">
        <v>6</v>
      </c>
      <c r="E22" s="1"/>
      <c r="F22" s="1">
        <f>F5-F20</f>
        <v>3689.2899999999991</v>
      </c>
    </row>
    <row r="23" spans="2:7" hidden="1" x14ac:dyDescent="0.25">
      <c r="E23" s="1"/>
      <c r="F23" s="1"/>
    </row>
    <row r="24" spans="2:7" hidden="1" x14ac:dyDescent="0.25">
      <c r="B24" t="s">
        <v>13</v>
      </c>
      <c r="E24" s="1"/>
      <c r="F24" s="17">
        <f>F5-F20</f>
        <v>3689.2899999999991</v>
      </c>
    </row>
    <row r="26" spans="2:7" x14ac:dyDescent="0.25">
      <c r="E26" s="2"/>
      <c r="F26" s="2"/>
    </row>
  </sheetData>
  <mergeCells count="1">
    <mergeCell ref="E2:G2"/>
  </mergeCells>
  <pageMargins left="0.7" right="0.7" top="0.75" bottom="0.75" header="0.3" footer="0.3"/>
  <pageSetup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7F50-459A-4845-B190-94719733E943}">
  <sheetPr>
    <pageSetUpPr fitToPage="1"/>
  </sheetPr>
  <dimension ref="A1:G2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41" sqref="G41"/>
    </sheetView>
  </sheetViews>
  <sheetFormatPr defaultRowHeight="15" x14ac:dyDescent="0.25"/>
  <cols>
    <col min="2" max="2" width="16.140625" customWidth="1"/>
    <col min="3" max="4" width="14.28515625" customWidth="1"/>
    <col min="5" max="6" width="10.140625" bestFit="1" customWidth="1"/>
    <col min="7" max="7" width="10.7109375" customWidth="1"/>
  </cols>
  <sheetData>
    <row r="1" spans="1:7" x14ac:dyDescent="0.25">
      <c r="A1" t="s">
        <v>0</v>
      </c>
    </row>
    <row r="2" spans="1:7" x14ac:dyDescent="0.25">
      <c r="E2" s="45">
        <v>2021</v>
      </c>
      <c r="F2" s="45"/>
      <c r="G2" s="45"/>
    </row>
    <row r="3" spans="1:7" x14ac:dyDescent="0.25">
      <c r="E3" s="3" t="s">
        <v>8</v>
      </c>
      <c r="F3" s="3" t="s">
        <v>16</v>
      </c>
      <c r="G3" s="3" t="s">
        <v>17</v>
      </c>
    </row>
    <row r="4" spans="1:7" x14ac:dyDescent="0.25">
      <c r="A4" t="s">
        <v>1</v>
      </c>
    </row>
    <row r="5" spans="1:7" x14ac:dyDescent="0.25">
      <c r="B5" t="s">
        <v>20</v>
      </c>
      <c r="E5" s="39">
        <v>16250</v>
      </c>
      <c r="F5" s="40">
        <v>16250</v>
      </c>
      <c r="G5" s="35">
        <f>F5-E5</f>
        <v>0</v>
      </c>
    </row>
    <row r="6" spans="1:7" x14ac:dyDescent="0.25">
      <c r="E6" s="35"/>
      <c r="F6" s="22"/>
      <c r="G6" s="35"/>
    </row>
    <row r="7" spans="1:7" x14ac:dyDescent="0.25">
      <c r="E7" s="35"/>
      <c r="F7" s="22"/>
      <c r="G7" s="35"/>
    </row>
    <row r="8" spans="1:7" x14ac:dyDescent="0.25">
      <c r="A8" t="s">
        <v>3</v>
      </c>
      <c r="E8" s="35"/>
      <c r="F8" s="22"/>
      <c r="G8" s="35"/>
    </row>
    <row r="9" spans="1:7" x14ac:dyDescent="0.25">
      <c r="B9" t="s">
        <v>23</v>
      </c>
      <c r="E9" s="35">
        <v>9750</v>
      </c>
      <c r="F9" s="41">
        <f>5466.18+2545</f>
        <v>8011.18</v>
      </c>
      <c r="G9" s="35">
        <f>E9-F9</f>
        <v>1738.8199999999997</v>
      </c>
    </row>
    <row r="10" spans="1:7" x14ac:dyDescent="0.25">
      <c r="B10" t="s">
        <v>14</v>
      </c>
      <c r="E10" s="35">
        <v>3300</v>
      </c>
      <c r="F10" s="41">
        <v>3208.32</v>
      </c>
      <c r="G10" s="35">
        <f t="shared" ref="G10:G18" si="0">E10-F10</f>
        <v>91.679999999999836</v>
      </c>
    </row>
    <row r="11" spans="1:7" x14ac:dyDescent="0.25">
      <c r="B11" t="s">
        <v>24</v>
      </c>
      <c r="E11" s="35">
        <v>0</v>
      </c>
      <c r="F11" s="41">
        <v>162</v>
      </c>
      <c r="G11" s="37">
        <f t="shared" si="0"/>
        <v>-162</v>
      </c>
    </row>
    <row r="12" spans="1:7" x14ac:dyDescent="0.25">
      <c r="B12" t="s">
        <v>5</v>
      </c>
      <c r="E12" s="35">
        <v>600</v>
      </c>
      <c r="F12" s="41">
        <v>589.51</v>
      </c>
      <c r="G12" s="35">
        <f t="shared" si="0"/>
        <v>10.490000000000009</v>
      </c>
    </row>
    <row r="13" spans="1:7" x14ac:dyDescent="0.25">
      <c r="B13" t="s">
        <v>15</v>
      </c>
      <c r="E13" s="35">
        <v>300</v>
      </c>
      <c r="F13" s="41">
        <f>20+299.98</f>
        <v>319.98</v>
      </c>
      <c r="G13" s="37">
        <f t="shared" si="0"/>
        <v>-19.980000000000018</v>
      </c>
    </row>
    <row r="14" spans="1:7" x14ac:dyDescent="0.25">
      <c r="B14" t="s">
        <v>10</v>
      </c>
      <c r="E14" s="35">
        <v>0</v>
      </c>
      <c r="F14" s="41"/>
      <c r="G14" s="35">
        <f t="shared" si="0"/>
        <v>0</v>
      </c>
    </row>
    <row r="15" spans="1:7" x14ac:dyDescent="0.25">
      <c r="B15" t="s">
        <v>7</v>
      </c>
      <c r="E15" s="35"/>
      <c r="F15" s="41"/>
      <c r="G15" s="35">
        <f t="shared" si="0"/>
        <v>0</v>
      </c>
    </row>
    <row r="16" spans="1:7" x14ac:dyDescent="0.25">
      <c r="B16" t="s">
        <v>12</v>
      </c>
      <c r="E16" s="35"/>
      <c r="F16" s="41"/>
      <c r="G16" s="35">
        <f t="shared" si="0"/>
        <v>0</v>
      </c>
    </row>
    <row r="17" spans="2:7" x14ac:dyDescent="0.25">
      <c r="B17" t="s">
        <v>4</v>
      </c>
      <c r="E17" s="35">
        <v>600</v>
      </c>
      <c r="F17" s="41">
        <v>608</v>
      </c>
      <c r="G17" s="35">
        <f t="shared" si="0"/>
        <v>-8</v>
      </c>
    </row>
    <row r="18" spans="2:7" x14ac:dyDescent="0.25">
      <c r="B18" t="s">
        <v>11</v>
      </c>
      <c r="E18" s="35">
        <v>1600</v>
      </c>
      <c r="F18" s="41"/>
      <c r="G18" s="35">
        <f t="shared" si="0"/>
        <v>1600</v>
      </c>
    </row>
    <row r="19" spans="2:7" x14ac:dyDescent="0.25">
      <c r="E19" s="35"/>
      <c r="F19" s="41"/>
      <c r="G19" s="35"/>
    </row>
    <row r="20" spans="2:7" x14ac:dyDescent="0.25">
      <c r="B20" t="s">
        <v>2</v>
      </c>
      <c r="E20" s="35">
        <f>SUM(E9:E18)</f>
        <v>16150</v>
      </c>
      <c r="F20" s="41">
        <f>SUM(F9:F18)</f>
        <v>12898.99</v>
      </c>
      <c r="G20" s="35">
        <f>SUM(G9:G18)</f>
        <v>3251.0099999999993</v>
      </c>
    </row>
    <row r="21" spans="2:7" hidden="1" x14ac:dyDescent="0.25">
      <c r="E21" s="1"/>
      <c r="F21" s="1"/>
    </row>
    <row r="22" spans="2:7" hidden="1" x14ac:dyDescent="0.25">
      <c r="B22" t="s">
        <v>6</v>
      </c>
      <c r="E22" s="1"/>
      <c r="F22" s="1">
        <f>F5-F20</f>
        <v>3351.01</v>
      </c>
    </row>
    <row r="23" spans="2:7" hidden="1" x14ac:dyDescent="0.25">
      <c r="E23" s="1"/>
      <c r="F23" s="1"/>
    </row>
    <row r="24" spans="2:7" hidden="1" x14ac:dyDescent="0.25">
      <c r="B24" t="s">
        <v>13</v>
      </c>
      <c r="E24" s="1"/>
      <c r="F24" s="17">
        <f>F5-F20</f>
        <v>3351.01</v>
      </c>
    </row>
    <row r="26" spans="2:7" x14ac:dyDescent="0.25">
      <c r="E26" s="2"/>
      <c r="F26" s="2"/>
    </row>
  </sheetData>
  <mergeCells count="1">
    <mergeCell ref="E2:G2"/>
  </mergeCells>
  <pageMargins left="0.7" right="0.7" top="0.75" bottom="0.75" header="0.3" footer="0.3"/>
  <pageSetup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BAC2-1DFA-4B28-A450-AB68439B09A6}">
  <sheetPr>
    <pageSetUpPr fitToPage="1"/>
  </sheetPr>
  <dimension ref="A1:G2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" sqref="D1:D1048576"/>
    </sheetView>
  </sheetViews>
  <sheetFormatPr defaultRowHeight="15" x14ac:dyDescent="0.25"/>
  <cols>
    <col min="2" max="2" width="16.140625" customWidth="1"/>
    <col min="3" max="4" width="14.28515625" customWidth="1"/>
    <col min="5" max="6" width="10.140625" bestFit="1" customWidth="1"/>
    <col min="7" max="7" width="10.7109375" customWidth="1"/>
  </cols>
  <sheetData>
    <row r="1" spans="1:7" x14ac:dyDescent="0.25">
      <c r="A1" t="s">
        <v>0</v>
      </c>
    </row>
    <row r="2" spans="1:7" x14ac:dyDescent="0.25">
      <c r="E2" s="45">
        <v>2022</v>
      </c>
      <c r="F2" s="45"/>
      <c r="G2" s="45"/>
    </row>
    <row r="3" spans="1:7" x14ac:dyDescent="0.25">
      <c r="E3" s="3" t="s">
        <v>8</v>
      </c>
      <c r="F3" s="3" t="s">
        <v>16</v>
      </c>
      <c r="G3" s="3" t="s">
        <v>17</v>
      </c>
    </row>
    <row r="4" spans="1:7" x14ac:dyDescent="0.25">
      <c r="A4" t="s">
        <v>1</v>
      </c>
    </row>
    <row r="5" spans="1:7" x14ac:dyDescent="0.25">
      <c r="B5" t="s">
        <v>20</v>
      </c>
      <c r="E5" s="39">
        <v>17550</v>
      </c>
      <c r="F5" s="40">
        <v>18651.240000000002</v>
      </c>
      <c r="G5" s="35">
        <f>F5-E5</f>
        <v>1101.2400000000016</v>
      </c>
    </row>
    <row r="6" spans="1:7" x14ac:dyDescent="0.25">
      <c r="E6" s="35"/>
      <c r="F6" s="22"/>
      <c r="G6" s="35"/>
    </row>
    <row r="7" spans="1:7" x14ac:dyDescent="0.25">
      <c r="E7" s="35"/>
      <c r="F7" s="22"/>
      <c r="G7" s="35"/>
    </row>
    <row r="8" spans="1:7" x14ac:dyDescent="0.25">
      <c r="A8" t="s">
        <v>3</v>
      </c>
      <c r="E8" s="35"/>
      <c r="F8" s="22"/>
      <c r="G8" s="35"/>
    </row>
    <row r="9" spans="1:7" x14ac:dyDescent="0.25">
      <c r="B9" t="s">
        <v>23</v>
      </c>
      <c r="E9" s="35">
        <v>9500</v>
      </c>
      <c r="F9" s="41">
        <f>3205+7420.1</f>
        <v>10625.1</v>
      </c>
      <c r="G9" s="37">
        <f>E9-F9</f>
        <v>-1125.1000000000004</v>
      </c>
    </row>
    <row r="10" spans="1:7" x14ac:dyDescent="0.25">
      <c r="B10" t="s">
        <v>14</v>
      </c>
      <c r="E10" s="35">
        <v>3605</v>
      </c>
      <c r="F10" s="41">
        <v>4536</v>
      </c>
      <c r="G10" s="37">
        <f t="shared" ref="G10:G18" si="0">E10-F10</f>
        <v>-931</v>
      </c>
    </row>
    <row r="11" spans="1:7" x14ac:dyDescent="0.25">
      <c r="B11" t="s">
        <v>24</v>
      </c>
      <c r="E11" s="35">
        <v>200</v>
      </c>
      <c r="F11" s="41">
        <v>0</v>
      </c>
      <c r="G11" s="35">
        <f t="shared" si="0"/>
        <v>200</v>
      </c>
    </row>
    <row r="12" spans="1:7" x14ac:dyDescent="0.25">
      <c r="B12" t="s">
        <v>25</v>
      </c>
      <c r="E12" s="35">
        <f>600+900</f>
        <v>1500</v>
      </c>
      <c r="F12" s="41">
        <v>1006.39</v>
      </c>
      <c r="G12" s="35">
        <f t="shared" si="0"/>
        <v>493.61</v>
      </c>
    </row>
    <row r="13" spans="1:7" x14ac:dyDescent="0.25">
      <c r="B13" t="s">
        <v>15</v>
      </c>
      <c r="E13" s="35">
        <v>320</v>
      </c>
      <c r="F13" s="41">
        <f>20+354.31+16</f>
        <v>390.31</v>
      </c>
      <c r="G13" s="37">
        <f t="shared" si="0"/>
        <v>-70.31</v>
      </c>
    </row>
    <row r="14" spans="1:7" x14ac:dyDescent="0.25">
      <c r="B14" t="s">
        <v>10</v>
      </c>
      <c r="E14" s="35">
        <v>0</v>
      </c>
      <c r="F14" s="41"/>
      <c r="G14" s="35">
        <f t="shared" si="0"/>
        <v>0</v>
      </c>
    </row>
    <row r="15" spans="1:7" x14ac:dyDescent="0.25">
      <c r="B15" t="s">
        <v>7</v>
      </c>
      <c r="E15" s="35"/>
      <c r="F15" s="41"/>
      <c r="G15" s="35">
        <f t="shared" si="0"/>
        <v>0</v>
      </c>
    </row>
    <row r="16" spans="1:7" x14ac:dyDescent="0.25">
      <c r="B16" t="s">
        <v>12</v>
      </c>
      <c r="E16" s="35"/>
      <c r="F16" s="41"/>
      <c r="G16" s="35">
        <f t="shared" si="0"/>
        <v>0</v>
      </c>
    </row>
    <row r="17" spans="2:7" x14ac:dyDescent="0.25">
      <c r="B17" t="s">
        <v>4</v>
      </c>
      <c r="E17" s="35">
        <v>625</v>
      </c>
      <c r="F17" s="41">
        <v>620</v>
      </c>
      <c r="G17" s="35">
        <f t="shared" si="0"/>
        <v>5</v>
      </c>
    </row>
    <row r="18" spans="2:7" x14ac:dyDescent="0.25">
      <c r="B18" t="s">
        <v>11</v>
      </c>
      <c r="E18" s="35">
        <v>1800</v>
      </c>
      <c r="F18" s="41"/>
      <c r="G18" s="35">
        <f t="shared" si="0"/>
        <v>1800</v>
      </c>
    </row>
    <row r="19" spans="2:7" x14ac:dyDescent="0.25">
      <c r="E19" s="35"/>
      <c r="F19" s="41"/>
      <c r="G19" s="35"/>
    </row>
    <row r="20" spans="2:7" x14ac:dyDescent="0.25">
      <c r="B20" t="s">
        <v>2</v>
      </c>
      <c r="E20" s="35">
        <f>SUM(E9:E18)</f>
        <v>17550</v>
      </c>
      <c r="F20" s="41">
        <f>SUM(F9:F18)</f>
        <v>17177.8</v>
      </c>
      <c r="G20" s="35">
        <f>SUM(G9:G18)</f>
        <v>372.19999999999982</v>
      </c>
    </row>
    <row r="21" spans="2:7" hidden="1" x14ac:dyDescent="0.25">
      <c r="E21" s="1"/>
      <c r="F21" s="1"/>
    </row>
    <row r="22" spans="2:7" hidden="1" x14ac:dyDescent="0.25">
      <c r="B22" t="s">
        <v>6</v>
      </c>
      <c r="E22" s="1"/>
      <c r="F22" s="1">
        <f>F5-F20</f>
        <v>1473.4400000000023</v>
      </c>
    </row>
    <row r="23" spans="2:7" hidden="1" x14ac:dyDescent="0.25">
      <c r="E23" s="1"/>
      <c r="F23" s="1"/>
    </row>
    <row r="24" spans="2:7" hidden="1" x14ac:dyDescent="0.25">
      <c r="B24" t="s">
        <v>13</v>
      </c>
      <c r="E24" s="1"/>
      <c r="F24" s="17">
        <f>F5-F20</f>
        <v>1473.4400000000023</v>
      </c>
    </row>
    <row r="26" spans="2:7" x14ac:dyDescent="0.25">
      <c r="E26" s="2"/>
      <c r="F26" s="2"/>
    </row>
  </sheetData>
  <mergeCells count="1">
    <mergeCell ref="E2:G2"/>
  </mergeCells>
  <pageMargins left="0.7" right="0.7" top="0.75" bottom="0.75" header="0.3" footer="0.3"/>
  <pageSetup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E502-6C85-4929-B02B-61CC1688F40D}">
  <sheetPr>
    <pageSetUpPr fitToPage="1"/>
  </sheetPr>
  <dimension ref="A1:G26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9" sqref="A9:XFD9"/>
    </sheetView>
  </sheetViews>
  <sheetFormatPr defaultRowHeight="15" x14ac:dyDescent="0.25"/>
  <cols>
    <col min="2" max="2" width="16.140625" customWidth="1"/>
    <col min="3" max="4" width="14.28515625" customWidth="1"/>
    <col min="5" max="6" width="13" customWidth="1"/>
    <col min="7" max="7" width="10.7109375" customWidth="1"/>
  </cols>
  <sheetData>
    <row r="1" spans="1:7" x14ac:dyDescent="0.25">
      <c r="A1" t="s">
        <v>0</v>
      </c>
    </row>
    <row r="2" spans="1:7" x14ac:dyDescent="0.25">
      <c r="E2" s="45">
        <v>2023</v>
      </c>
      <c r="F2" s="45"/>
      <c r="G2" s="45"/>
    </row>
    <row r="3" spans="1:7" x14ac:dyDescent="0.25">
      <c r="E3" s="3" t="s">
        <v>8</v>
      </c>
      <c r="F3" s="3" t="s">
        <v>16</v>
      </c>
      <c r="G3" s="3" t="s">
        <v>17</v>
      </c>
    </row>
    <row r="4" spans="1:7" x14ac:dyDescent="0.25">
      <c r="A4" t="s">
        <v>1</v>
      </c>
    </row>
    <row r="5" spans="1:7" x14ac:dyDescent="0.25">
      <c r="B5" t="s">
        <v>20</v>
      </c>
      <c r="E5" s="39">
        <v>21600</v>
      </c>
      <c r="F5" s="40">
        <v>25996.99</v>
      </c>
      <c r="G5" s="35">
        <f>F5-E5</f>
        <v>4396.9900000000016</v>
      </c>
    </row>
    <row r="6" spans="1:7" x14ac:dyDescent="0.25">
      <c r="B6" t="s">
        <v>26</v>
      </c>
      <c r="E6" s="35"/>
      <c r="F6" s="22">
        <v>10000</v>
      </c>
      <c r="G6" s="35"/>
    </row>
    <row r="7" spans="1:7" x14ac:dyDescent="0.25">
      <c r="E7" s="35"/>
      <c r="F7" s="22"/>
      <c r="G7" s="35"/>
    </row>
    <row r="8" spans="1:7" x14ac:dyDescent="0.25">
      <c r="A8" t="s">
        <v>3</v>
      </c>
      <c r="E8" s="35"/>
      <c r="F8" s="22"/>
      <c r="G8" s="35"/>
    </row>
    <row r="9" spans="1:7" x14ac:dyDescent="0.25">
      <c r="B9" t="s">
        <v>23</v>
      </c>
      <c r="E9" s="35">
        <v>9500</v>
      </c>
      <c r="F9" s="41">
        <f>3175+5267.54</f>
        <v>8442.5400000000009</v>
      </c>
      <c r="G9" s="35">
        <f>E9-F9</f>
        <v>1057.4599999999991</v>
      </c>
    </row>
    <row r="10" spans="1:7" x14ac:dyDescent="0.25">
      <c r="B10" t="s">
        <v>14</v>
      </c>
      <c r="E10" s="35">
        <v>6000</v>
      </c>
      <c r="F10" s="41">
        <v>5035.68</v>
      </c>
      <c r="G10" s="37">
        <f t="shared" ref="G10:G18" si="0">E10-F10</f>
        <v>964.31999999999971</v>
      </c>
    </row>
    <row r="11" spans="1:7" x14ac:dyDescent="0.25">
      <c r="B11" t="s">
        <v>24</v>
      </c>
      <c r="E11" s="35">
        <v>200</v>
      </c>
      <c r="F11" s="41"/>
      <c r="G11" s="35">
        <f t="shared" si="0"/>
        <v>200</v>
      </c>
    </row>
    <row r="12" spans="1:7" x14ac:dyDescent="0.25">
      <c r="B12" t="s">
        <v>5</v>
      </c>
      <c r="E12" s="35">
        <v>1350</v>
      </c>
      <c r="F12" s="41">
        <v>952.76</v>
      </c>
      <c r="G12" s="35">
        <f t="shared" si="0"/>
        <v>397.24</v>
      </c>
    </row>
    <row r="13" spans="1:7" x14ac:dyDescent="0.25">
      <c r="B13" t="s">
        <v>15</v>
      </c>
      <c r="E13" s="35">
        <v>420</v>
      </c>
      <c r="F13" s="41">
        <f>20</f>
        <v>20</v>
      </c>
      <c r="G13" s="37">
        <f t="shared" si="0"/>
        <v>400</v>
      </c>
    </row>
    <row r="14" spans="1:7" x14ac:dyDescent="0.25">
      <c r="B14" t="s">
        <v>10</v>
      </c>
      <c r="E14" s="35">
        <v>0</v>
      </c>
      <c r="F14" s="41"/>
      <c r="G14" s="35">
        <f t="shared" si="0"/>
        <v>0</v>
      </c>
    </row>
    <row r="15" spans="1:7" x14ac:dyDescent="0.25">
      <c r="B15" t="s">
        <v>7</v>
      </c>
      <c r="E15" s="35"/>
      <c r="F15" s="41"/>
      <c r="G15" s="35">
        <f t="shared" si="0"/>
        <v>0</v>
      </c>
    </row>
    <row r="16" spans="1:7" x14ac:dyDescent="0.25">
      <c r="B16" t="s">
        <v>12</v>
      </c>
      <c r="E16" s="35"/>
      <c r="F16" s="41"/>
      <c r="G16" s="35">
        <f t="shared" si="0"/>
        <v>0</v>
      </c>
    </row>
    <row r="17" spans="2:7" x14ac:dyDescent="0.25">
      <c r="B17" t="s">
        <v>4</v>
      </c>
      <c r="E17" s="35">
        <v>625</v>
      </c>
      <c r="F17" s="41">
        <v>629</v>
      </c>
      <c r="G17" s="35">
        <f t="shared" si="0"/>
        <v>-4</v>
      </c>
    </row>
    <row r="18" spans="2:7" x14ac:dyDescent="0.25">
      <c r="B18" t="s">
        <v>11</v>
      </c>
      <c r="E18" s="35">
        <v>2000</v>
      </c>
      <c r="F18" s="41"/>
      <c r="G18" s="35">
        <f t="shared" si="0"/>
        <v>2000</v>
      </c>
    </row>
    <row r="19" spans="2:7" x14ac:dyDescent="0.25">
      <c r="E19" s="35"/>
      <c r="F19" s="41"/>
      <c r="G19" s="35"/>
    </row>
    <row r="20" spans="2:7" x14ac:dyDescent="0.25">
      <c r="B20" t="s">
        <v>2</v>
      </c>
      <c r="E20" s="35">
        <f>SUM(E9:E18)</f>
        <v>20095</v>
      </c>
      <c r="F20" s="41">
        <f>SUM(F9:F18)</f>
        <v>15079.980000000001</v>
      </c>
      <c r="G20" s="35">
        <f>SUM(G9:G18)</f>
        <v>5015.0199999999986</v>
      </c>
    </row>
    <row r="21" spans="2:7" hidden="1" x14ac:dyDescent="0.25">
      <c r="E21" s="1"/>
      <c r="F21" s="1"/>
    </row>
    <row r="22" spans="2:7" hidden="1" x14ac:dyDescent="0.25">
      <c r="B22" t="s">
        <v>6</v>
      </c>
      <c r="E22" s="1"/>
      <c r="F22" s="1">
        <f>F5-F20</f>
        <v>10917.01</v>
      </c>
    </row>
    <row r="23" spans="2:7" hidden="1" x14ac:dyDescent="0.25">
      <c r="E23" s="1"/>
      <c r="F23" s="1"/>
    </row>
    <row r="24" spans="2:7" hidden="1" x14ac:dyDescent="0.25">
      <c r="B24" t="s">
        <v>13</v>
      </c>
      <c r="E24" s="1"/>
      <c r="F24" s="17">
        <f>F5-F20</f>
        <v>10917.01</v>
      </c>
    </row>
    <row r="26" spans="2:7" x14ac:dyDescent="0.25">
      <c r="E26" s="2"/>
      <c r="F26" s="2"/>
    </row>
  </sheetData>
  <mergeCells count="1">
    <mergeCell ref="E2:G2"/>
  </mergeCells>
  <pageMargins left="0.7" right="0.7" top="0.75" bottom="0.75" header="0.3" footer="0.3"/>
  <pageSetup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9" ma:contentTypeDescription="Create a new document." ma:contentTypeScope="" ma:versionID="22206f460279824db93769f310286cdb">
  <xsd:schema xmlns:xsd="http://www.w3.org/2001/XMLSchema" xmlns:xs="http://www.w3.org/2001/XMLSchema" xmlns:p="http://schemas.microsoft.com/office/2006/metadata/properties" xmlns:ns2="3587d346-06af-42ae-85fc-924a52d5c0b5" xmlns:ns3="b479206e-175b-4ebe-9947-d22816e9318a" targetNamespace="http://schemas.microsoft.com/office/2006/metadata/properties" ma:root="true" ma:fieldsID="4857a92e13767d2f4925d198fffa8817" ns2:_="" ns3:_="">
    <xsd:import namespace="3587d346-06af-42ae-85fc-924a52d5c0b5"/>
    <xsd:import namespace="b479206e-175b-4ebe-9947-d22816e931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f7b025f-094e-438f-9fef-964aaaa13f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206e-175b-4ebe-9947-d22816e931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6ce1fb7-be54-44ed-a3ff-3adbd57c1492}" ma:internalName="TaxCatchAll" ma:showField="CatchAllData" ma:web="b479206e-175b-4ebe-9947-d22816e931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9206e-175b-4ebe-9947-d22816e9318a" xsi:nil="true"/>
    <lcf76f155ced4ddcb4097134ff3c332f xmlns="3587d346-06af-42ae-85fc-924a52d5c0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172CB7-05BB-41DF-B73D-4222BB477455}"/>
</file>

<file path=customXml/itemProps2.xml><?xml version="1.0" encoding="utf-8"?>
<ds:datastoreItem xmlns:ds="http://schemas.openxmlformats.org/officeDocument/2006/customXml" ds:itemID="{72F5C862-9234-499A-A810-4C8812DDB54F}">
  <ds:schemaRefs>
    <ds:schemaRef ds:uri="http://schemas.microsoft.com/office/2006/metadata/properties"/>
    <ds:schemaRef ds:uri="http://schemas.microsoft.com/office/infopath/2007/PartnerControls"/>
    <ds:schemaRef ds:uri="b479206e-175b-4ebe-9947-d22816e9318a"/>
    <ds:schemaRef ds:uri="3587d346-06af-42ae-85fc-924a52d5c0b5"/>
  </ds:schemaRefs>
</ds:datastoreItem>
</file>

<file path=customXml/itemProps3.xml><?xml version="1.0" encoding="utf-8"?>
<ds:datastoreItem xmlns:ds="http://schemas.openxmlformats.org/officeDocument/2006/customXml" ds:itemID="{2565827B-38EC-4D00-B52F-E318D7CBF9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Derek Hagan</cp:lastModifiedBy>
  <cp:lastPrinted>2024-11-13T16:49:47Z</cp:lastPrinted>
  <dcterms:created xsi:type="dcterms:W3CDTF">2018-08-22T16:03:17Z</dcterms:created>
  <dcterms:modified xsi:type="dcterms:W3CDTF">2025-04-04T19:57:48Z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  <property fmtid="{D5CDD505-2E9C-101B-9397-08002B2CF9AE}" pid="3" name="MediaServiceImageTags">
    <vt:lpwstr/>
  </property>
</Properties>
</file>